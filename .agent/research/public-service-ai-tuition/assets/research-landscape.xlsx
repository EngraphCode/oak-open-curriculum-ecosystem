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b531e7f39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cab3602e4ea4d44"/>
    <x:sheet xmlns:r="http://schemas.openxmlformats.org/officeDocument/2006/relationships" name="Landscape" sheetId="2" r:id="R1572e04210c346b0"/>
    <x:sheet xmlns:r="http://schemas.openxmlformats.org/officeDocument/2006/relationships" name="AI + Open" sheetId="3" r:id="R81bab209df8344a9"/>
    <x:sheet xmlns:r="http://schemas.openxmlformats.org/officeDocument/2006/relationships" name="Standards map" sheetId="4" r:id="R7e925a8d9e304df9"/>
    <x:sheet xmlns:r="http://schemas.openxmlformats.org/officeDocument/2006/relationships" name="Sources" sheetId="5" r:id="Reafaf4ff90f4486d"/>
    <x:sheet xmlns:r="http://schemas.openxmlformats.org/officeDocument/2006/relationships" name="Taxonomy" sheetId="6" r:id="R893dd3f6651b4550"/>
    <x:sheet xmlns:r="http://schemas.openxmlformats.org/officeDocument/2006/relationships" name="Coverage" sheetId="7" r:id="R9ad178068e53490f"/>
    <x:sheet xmlns:r="http://schemas.openxmlformats.org/officeDocument/2006/relationships" name="Revision notes" sheetId="8" r:id="R2015607a7470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sz val="10"/>
      <x:color rgb="FF24364B"/>
      <x:name val="Aptos"/>
    </x:font>
    <x:font>
      <x:b/>
      <x:sz val="18"/>
      <x:color rgb="FFFFFFFF"/>
      <x:name val="Aptos"/>
    </x:font>
    <x:font>
      <x:sz val="11"/>
      <x:color rgb="FF183153"/>
      <x:name val="Aptos"/>
    </x:font>
    <x:font>
      <x:b/>
      <x:sz val="10"/>
      <x:color rgb="FFFFFFFF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7EFF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44e463e8c4d07" /><Relationship Type="http://schemas.openxmlformats.org/officeDocument/2006/relationships/theme" Target="/xl/theme/theme1.xml" Id="R4ee7368a3dd24d78" /><Relationship Type="http://schemas.openxmlformats.org/officeDocument/2006/relationships/sharedStrings" Target="/xl/sharedStrings.xml" Id="Rea3900f2d13246cf" /><Relationship Type="http://schemas.openxmlformats.org/officeDocument/2006/relationships/worksheet" Target="/xl/worksheets/sheet1.xml" Id="Rfcab3602e4ea4d44" /><Relationship Type="http://schemas.openxmlformats.org/officeDocument/2006/relationships/worksheet" Target="/xl/worksheets/sheet2.xml" Id="R1572e04210c346b0" /><Relationship Type="http://schemas.openxmlformats.org/officeDocument/2006/relationships/worksheet" Target="/xl/worksheets/sheet3.xml" Id="R81bab209df8344a9" /><Relationship Type="http://schemas.openxmlformats.org/officeDocument/2006/relationships/worksheet" Target="/xl/worksheets/sheet4.xml" Id="R7e925a8d9e304df9" /><Relationship Type="http://schemas.openxmlformats.org/officeDocument/2006/relationships/worksheet" Target="/xl/worksheets/sheet5.xml" Id="Reafaf4ff90f4486d" /><Relationship Type="http://schemas.openxmlformats.org/officeDocument/2006/relationships/worksheet" Target="/xl/worksheets/sheet6.xml" Id="R893dd3f6651b4550" /><Relationship Type="http://schemas.openxmlformats.org/officeDocument/2006/relationships/worksheet" Target="/xl/worksheets/sheet7.xml" Id="R9ad178068e53490f" /><Relationship Type="http://schemas.openxmlformats.org/officeDocument/2006/relationships/worksheet" Target="/xl/worksheets/sheet8.xml" Id="R2015607a747042c4" /></Relationships>
</file>

<file path=xl/tables/table1.xml><?xml version="1.0" encoding="utf-8"?>
<x:table xmlns:x="http://schemas.openxmlformats.org/spreadsheetml/2006/main" id="1" name="LandscapeTable" displayName="LandscapeTable" ref="A5:AE107" headerRowCount="1" totalsRowCount="0" totalsRowShown="0">
  <x:tableColumns count="31">
    <x:tableColumn id="1" name="ID"/>
    <x:tableColumn id="2" name="Initiative"/>
    <x:tableColumn id="3" name="Lens"/>
    <x:tableColumn id="4" name="Layer"/>
    <x:tableColumn id="5" name="Lead / steward"/>
    <x:tableColumn id="6" name="Region"/>
    <x:tableColumn id="7" name="Geography"/>
    <x:tableColumn id="8" name="Status / timeframe"/>
    <x:tableColumn id="9" name="Users / purpose"/>
    <x:tableColumn id="10" name="Outputs / AI role"/>
    <x:tableColumn id="11" name="Standards / interfaces"/>
    <x:tableColumn id="12" name="Open spec"/>
    <x:tableColumn id="13" name="Open code"/>
    <x:tableColumn id="14" name="Open assets"/>
    <x:tableColumn id="15" name="Access"/>
    <x:tableColumn id="16" name="Licence / openness"/>
    <x:tableColumn id="17" name="Evidence band"/>
    <x:tableColumn id="18" name="Evidence / adoption summary"/>
    <x:tableColumn id="19" name="Governance / credibility"/>
    <x:tableColumn id="20" name="Public-good / equity"/>
    <x:tableColumn id="21" name="Privacy / safety"/>
    <x:tableColumn id="22" name="Main caveat"/>
    <x:tableColumn id="23" name="Discovery signal"/>
    <x:tableColumn id="24" name="Confidence"/>
    <x:tableColumn id="25" name="Source 1"/>
    <x:tableColumn id="26" name="Source 2"/>
    <x:tableColumn id="27" name="Checked"/>
    <x:tableColumn id="28" name="Open code — detailed evidence"/>
    <x:tableColumn id="29" name="First seen"/>
    <x:tableColumn id="30" name="Reconciliation note"/>
    <x:tableColumn id="31" name="Source associa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ExplicitIntersectionTable" displayName="ExplicitIntersectionTable" ref="A5:L41" headerRowCount="1" totalsRowCount="0" totalsRowShown="0">
  <x:tableColumns count="12">
    <x:tableColumn id="1" name="ID"/>
    <x:tableColumn id="2" name="Initiative"/>
    <x:tableColumn id="3" name="Region"/>
    <x:tableColumn id="4" name="Layer"/>
    <x:tableColumn id="5" name="Status"/>
    <x:tableColumn id="6" name="Open spec"/>
    <x:tableColumn id="7" name="Open code"/>
    <x:tableColumn id="8" name="Open assets"/>
    <x:tableColumn id="9" name="Evidence"/>
    <x:tableColumn id="10" name="Why track"/>
    <x:tableColumn id="11" name="Key caveat"/>
    <x:tableColumn id="12" name="Primary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tandardsMapTable" displayName="StandardsMapTable" ref="A5:L41" headerRowCount="1" totalsRowCount="0" totalsRowShown="0">
  <x:tableColumns count="12">
    <x:tableColumn id="1" name="ID"/>
    <x:tableColumn id="2" name="Standard / infrastructure"/>
    <x:tableColumn id="3" name="Region"/>
    <x:tableColumn id="4" name="Layer"/>
    <x:tableColumn id="5" name="Status"/>
    <x:tableColumn id="6" name="Standard(s)"/>
    <x:tableColumn id="7" name="Open spec"/>
    <x:tableColumn id="8" name="Open code"/>
    <x:tableColumn id="9" name="Evidence / adoption"/>
    <x:tableColumn id="10" name="AI-enabling relevance"/>
    <x:tableColumn id="11" name="Privacy / governance issue"/>
    <x:tableColumn id="12" name="Primary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SourcesTable" displayName="SourcesTable" ref="A5:K196" headerRowCount="1" totalsRowCount="0" totalsRowShown="0">
  <x:tableColumns count="11">
    <x:tableColumn id="1" name="Project"/>
    <x:tableColumn id="2" name="Initiative"/>
    <x:tableColumn id="3" name="Source number"/>
    <x:tableColumn id="4" name="Type"/>
    <x:tableColumn id="5" name="URL"/>
    <x:tableColumn id="6" name="Primarily supports"/>
    <x:tableColumn id="7" name="Lens"/>
    <x:tableColumn id="8" name="Record confidence"/>
    <x:tableColumn id="9" name="Checked"/>
    <x:tableColumn id="10" name="First URL occurrence"/>
    <x:tableColumn id="11" name="Original sourc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046b2ebecd4b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1870125e0647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ccc77056694a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0f10ddbebb47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" hidden="0" customWidth="1"/>
    <x:col min="2" max="2" width="15" hidden="0" customWidth="1"/>
    <x:col min="3" max="3" width="40" hidden="0" customWidth="1"/>
    <x:col min="4" max="4" width="40" hidden="0" customWidth="1"/>
  </x:cols>
  <x:sheetData>
    <x:row r="1" ht="38" customHeight="1">
      <x:c r="A1" s="5" t="str">
        <x:v>Research landscape — reading and evidence</x:v>
      </x:c>
      <x:c r="B1" s="5"/>
      <x:c r="C1" s="5"/>
      <x:c r="D1" s="5"/>
    </x:row>
    <x:row r="2" ht="27" customHeight="1">
      <x:c r="A2" s="7" t="str">
        <x:v>Consolidated 6 September 2026 from dated project research. This is a usable historical inventory, not a fresh external audit or a league table.</x:v>
      </x:c>
      <x:c r="B2" s="7"/>
      <x:c r="C2" s="7"/>
      <x:c r="D2" s="7"/>
    </x:row>
    <x:row r="3" ht="27" customHeight="1">
      <x:c r="A3" s="7"/>
      <x:c r="B3" s="7"/>
      <x:c r="C3" s="7"/>
      <x:c r="D3" s="7"/>
    </x:row>
    <x:row r="4" ht="34" customHeight="1">
      <x:c r="A4" s="3"/>
      <x:c r="B4" s="3"/>
      <x:c r="C4" s="3"/>
      <x:c r="D4" s="3"/>
    </x:row>
    <x:row r="5" ht="34" customHeight="1">
      <x:c r="A5" s="8" t="str">
        <x:v>Measure</x:v>
      </x:c>
      <x:c r="B5" s="8" t="str">
        <x:v>Count</x:v>
      </x:c>
      <x:c r="C5" s="3"/>
      <x:c r="D5" s="3"/>
    </x:row>
    <x:row r="6" ht="34" customHeight="1">
      <x:c r="A6" s="3" t="str">
        <x:v>Discovery records</x:v>
      </x:c>
      <x:c r="B6" s="14" t="n">
        <x:f>COUNTA('Landscape'!$A$6:$A$107)</x:f>
        <x:v>102</x:v>
      </x:c>
      <x:c r="C6" s="3"/>
      <x:c r="D6" s="3"/>
    </x:row>
    <x:row r="7" ht="34" customHeight="1">
      <x:c r="A7" s="3" t="str">
        <x:v>AI × education</x:v>
      </x:c>
      <x:c r="B7" s="14" t="n">
        <x:f>COUNTIF('Landscape'!$C$6:$C$107,"AI × education")</x:f>
        <x:v>30</x:v>
      </x:c>
      <x:c r="C7" s="3"/>
      <x:c r="D7" s="3"/>
    </x:row>
    <x:row r="8" ht="34" customHeight="1">
      <x:c r="A8" s="3" t="str">
        <x:v>AI × education × open</x:v>
      </x:c>
      <x:c r="B8" s="14" t="n">
        <x:f>COUNTIF('Landscape'!$C$6:$C$107,"AI × education × open")</x:f>
        <x:v>36</x:v>
      </x:c>
      <x:c r="C8" s="3"/>
      <x:c r="D8" s="3"/>
    </x:row>
    <x:row r="9" ht="34" customHeight="1">
      <x:c r="A9" s="3" t="str">
        <x:v>Education × open standards</x:v>
      </x:c>
      <x:c r="B9" s="14" t="n">
        <x:f>COUNTIF('Landscape'!$C$6:$C$107,"Education × open standards")</x:f>
        <x:v>36</x:v>
      </x:c>
      <x:c r="C9" s="3"/>
      <x:c r="D9" s="3"/>
    </x:row>
    <x:row r="10" ht="34" customHeight="1">
      <x:c r="A10" s="3" t="str">
        <x:v>Source associations</x:v>
      </x:c>
      <x:c r="B10" s="14" t="n">
        <x:f>COUNTA('Sources'!$A$6:$A$196)</x:f>
        <x:v>191</x:v>
      </x:c>
      <x:c r="C10" s="3"/>
      <x:c r="D10" s="3"/>
    </x:row>
    <x:row r="11" ht="34" customHeight="1">
      <x:c r="A11" s="3" t="str">
        <x:v>Unique source URLs</x:v>
      </x:c>
      <x:c r="B11" s="14" t="n">
        <x:f>SUM('Sources'!$J$6:$J$196)</x:f>
        <x:v>186</x:v>
      </x:c>
      <x:c r="C11" s="3"/>
      <x:c r="D11" s="3"/>
    </x:row>
    <x:row r="12" ht="34" customHeight="1">
      <x:c r="A12" s="3" t="str">
        <x:v>Single-sourced records</x:v>
      </x:c>
      <x:c r="B12" s="14" t="n">
        <x:f>COUNTIF('Landscape'!$AE$6:$AE$107,1)</x:f>
        <x:v>16</x:v>
      </x:c>
      <x:c r="C12" s="3"/>
      <x:c r="D12" s="3"/>
    </x:row>
    <x:row r="13" ht="34" customHeight="1">
      <x:c r="A13" s="3" t="str">
        <x:v>Exactly labelled Causal learner outcomes</x:v>
      </x:c>
      <x:c r="B13" s="14" t="n">
        <x:f>COUNTIF('Landscape'!$Q$6:$Q$107,"Causal learner outcomes")</x:f>
        <x:v>5</x:v>
      </x:c>
      <x:c r="C13" s="3"/>
      <x:c r="D13" s="3"/>
    </x:row>
    <x:row r="14" ht="34" customHeight="1">
      <x:c r="A14" s="3" t="str">
        <x:v>Broad code class Yes or Partial / unresolved</x:v>
      </x:c>
      <x:c r="B14" s="14" t="n">
        <x:f>COUNTIF('Landscape'!$M$6:$M$107,"Yes")+COUNTIF('Landscape'!$M$6:$M$107,"Partial / unresolved")</x:f>
        <x:v>47</x:v>
      </x:c>
      <x:c r="C14" s="3"/>
      <x:c r="D14" s="3"/>
    </x:row>
    <x:row r="15" ht="34" customHeight="1">
      <x:c r="A15" s="3"/>
      <x:c r="B15" s="3"/>
      <x:c r="C15" s="3"/>
      <x:c r="D15" s="3"/>
    </x:row>
    <x:row r="16" ht="34" customHeight="1">
      <x:c r="A16" s="3"/>
      <x:c r="B16" s="3"/>
      <x:c r="C16" s="3"/>
      <x:c r="D16" s="3"/>
    </x:row>
    <x:row r="17" ht="27" customHeight="1">
      <x:c r="A17" s="3" t="str">
        <x:v>Reading route</x:v>
      </x:c>
      <x:c r="B17" s="3" t="str">
        <x:v>Filter Landscape for tasks/regions; use Sources for every association; consult document 10 for detailed trials, Pioneers and conflicts.</x:v>
      </x:c>
      <x:c r="C17" s="3"/>
      <x:c r="D17" s="3"/>
    </x:row>
    <x:row r="18" ht="27" customHeight="1">
      <x:c r="A18" s="3"/>
      <x:c r="B18" s="3"/>
      <x:c r="C18" s="3"/>
      <x:c r="D18" s="3"/>
    </x:row>
    <x:row r="19" ht="27" customHeight="1">
      <x:c r="A19" s="3" t="str">
        <x:v>Evidence scope</x:v>
      </x:c>
      <x:c r="B19" s="3" t="str">
        <x:v>Five exact causal labels describe discovery coding. They are not five validated current GenAI products. ASSISTments core and AIDA remain different evaluands.</x:v>
      </x:c>
      <x:c r="C19" s="3"/>
      <x:c r="D19" s="3"/>
    </x:row>
    <x:row r="20" ht="27" customHeight="1">
      <x:c r="A20" s="3"/>
      <x:c r="B20" s="3"/>
      <x:c r="C20" s="3"/>
      <x:c r="D20" s="3"/>
    </x:row>
    <x:row r="21" ht="27" customHeight="1">
      <x:c r="A21" s="3" t="str">
        <x:v>Open code</x:v>
      </x:c>
      <x:c r="B21" s="3" t="str">
        <x:v>Column M retains original broad categories for calculation. Column AB preserves richer descriptions, including demo-only, promised, unlicensed and component-specific cases. Neither is a legal opinion.</x:v>
      </x:c>
      <x:c r="C21" s="3"/>
      <x:c r="D21" s="3"/>
    </x:row>
    <x:row r="22" ht="27" customHeight="1">
      <x:c r="A22" s="3"/>
      <x:c r="B22" s="3"/>
      <x:c r="C22" s="3"/>
      <x:c r="D22" s="3"/>
    </x:row>
    <x:row r="23" ht="27" customHeight="1">
      <x:c r="A23" s="3" t="str">
        <x:v>Historical updates</x:v>
      </x:c>
      <x:c r="B23" s="3" t="str">
        <x:v>P101/P102 add pre-cutoff evidence found later. P011/P019 J-PAL pages are evaluation synthesis; P012 source 2 is media. Original source labels remain in Sources K. Event dates and check dates differ.</x:v>
      </x:c>
      <x:c r="C23" s="3"/>
      <x:c r="D23" s="3"/>
    </x:row>
    <x:row r="24" ht="27" customHeight="1">
      <x:c r="A24" s="3"/>
      <x:c r="B24" s="3"/>
      <x:c r="C24" s="3"/>
      <x:c r="D24" s="3"/>
    </x:row>
    <x:row r="25" ht="27" customHeight="1">
      <x:c r="A25" s="3" t="str">
        <x:v>Use and maintenance</x:v>
      </x:c>
      <x:c r="B25" s="3" t="str">
        <x:v>Four filterable tables preserve source and derived-record navigation. Derived-view membership is this dated snapshot; values follow Landscape edits. Add rows and update bounded formula/table ranges together.</x:v>
      </x:c>
      <x:c r="C25" s="3"/>
      <x:c r="D25" s="3"/>
    </x:row>
    <x:row r="26" ht="27" customHeight="1">
      <x:c r="A26" s="3"/>
      <x:c r="B26" s="3"/>
      <x:c r="C26" s="3"/>
      <x:c r="D26" s="3"/>
    </x:row>
    <x:row r="27" ht="27" customHeight="1">
      <x:c r="A27" s="3" t="str">
        <x:v>Research limits</x:v>
      </x:c>
      <x:c r="B27" s="3" t="str">
        <x:v>English-accessible sources and well-documented jurisdictions are overrepresented. “Not located” is a search-scoped gap; source-owner claims and correlated reports are not independent effect evidence.</x:v>
      </x:c>
      <x:c r="C27" s="3"/>
      <x:c r="D27" s="3"/>
    </x:row>
    <x:row r="28" ht="27" customHeight="1">
      <x:c r="A28" s="3"/>
      <x:c r="B28" s="3"/>
      <x:c r="C28" s="3"/>
      <x:c r="D28" s="3"/>
    </x:row>
    <x:row r="29" ht="34" customHeight="1">
      <x:c r="A29" s="3"/>
      <x:c r="B29" s="3"/>
      <x:c r="C29" s="3"/>
      <x:c r="D29" s="3"/>
    </x:row>
    <x:row r="30" ht="34" customHeight="1">
      <x:c r="A30" s="3"/>
      <x:c r="B30" s="3"/>
      <x:c r="C30" s="3"/>
      <x:c r="D30" s="3"/>
    </x:row>
  </x:sheetData>
  <x:mergeCells>
    <x:mergeCell ref="A1:D1"/>
    <x:mergeCell ref="A2:D3"/>
    <x:mergeCell ref="B17:D18"/>
    <x:mergeCell ref="B19:D20"/>
    <x:mergeCell ref="B21:D22"/>
    <x:mergeCell ref="B23:D24"/>
    <x:mergeCell ref="B25:D26"/>
    <x:mergeCell ref="B27:D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  <x:col min="13" max="13" width="46" hidden="0" customWidth="1"/>
    <x:col min="14" max="14" width="46" hidden="0" customWidth="1"/>
    <x:col min="15" max="15" width="46" hidden="0" customWidth="1"/>
    <x:col min="16" max="16" width="46" hidden="0" customWidth="1"/>
    <x:col min="17" max="17" width="46" hidden="0" customWidth="1"/>
    <x:col min="18" max="18" width="46" hidden="0" customWidth="1"/>
    <x:col min="19" max="19" width="46" hidden="0" customWidth="1"/>
    <x:col min="20" max="20" width="46" hidden="0" customWidth="1"/>
    <x:col min="21" max="21" width="46" hidden="0" customWidth="1"/>
    <x:col min="22" max="22" width="46" hidden="0" customWidth="1"/>
    <x:col min="23" max="23" width="46" hidden="0" customWidth="1"/>
    <x:col min="24" max="24" width="46" hidden="0" customWidth="1"/>
    <x:col min="25" max="25" width="64" hidden="0" customWidth="1"/>
    <x:col min="26" max="26" width="64" hidden="0" customWidth="1"/>
    <x:col min="27" max="27" width="15" hidden="0" customWidth="1"/>
    <x:col min="28" max="28" width="46" hidden="0" customWidth="1"/>
    <x:col min="29" max="29" width="15" hidden="0" customWidth="1"/>
    <x:col min="30" max="30" width="46" hidden="0" customWidth="1"/>
    <x:col min="31" max="31" width="15" hidden="0" customWidth="1"/>
  </x:cols>
  <x:sheetData>
    <x:row r="1" ht="38" customHeight="1">
      <x:c r="A1" s="5" t="str">
        <x:v>Research landscape — 102 discovery records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ht="27" customHeight="1">
      <x:c r="A2" s="7" t="str">
        <x:v>Historical snapshot: first 100 checked 3 September 2026; P101/P102 first found 4 September. Source wording and openness classification remain distinct. Scroll horizontally for evidence, rights, URLs and reconciliation notes.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</x:row>
    <x:row r="3" ht="27" customHeight="1">
      <x:c r="A3" s="7"/>
      <x:c r="B3" s="7"/>
      <x:c r="C3" s="7"/>
      <x:c r="D3" s="7"/>
      <x:c r="E3" s="7"/>
      <x:c r="F3" s="7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</x:row>
    <x:row r="4" ht="3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</x:row>
    <x:row r="5" ht="34" customHeight="1">
      <x:c r="A5" s="8" t="str">
        <x:v>ID</x:v>
      </x:c>
      <x:c r="B5" s="8" t="str">
        <x:v>Initiative</x:v>
      </x:c>
      <x:c r="C5" s="8" t="str">
        <x:v>Lens</x:v>
      </x:c>
      <x:c r="D5" s="8" t="str">
        <x:v>Layer</x:v>
      </x:c>
      <x:c r="E5" s="8" t="str">
        <x:v>Lead / steward</x:v>
      </x:c>
      <x:c r="F5" s="8" t="str">
        <x:v>Region</x:v>
      </x:c>
      <x:c r="G5" s="8" t="str">
        <x:v>Geography</x:v>
      </x:c>
      <x:c r="H5" s="8" t="str">
        <x:v>Status / timeframe</x:v>
      </x:c>
      <x:c r="I5" s="8" t="str">
        <x:v>Users / purpose</x:v>
      </x:c>
      <x:c r="J5" s="8" t="str">
        <x:v>Outputs / AI role</x:v>
      </x:c>
      <x:c r="K5" s="8" t="str">
        <x:v>Standards / interfaces</x:v>
      </x:c>
      <x:c r="L5" s="8" t="str">
        <x:v>Open spec</x:v>
      </x:c>
      <x:c r="M5" s="8" t="str">
        <x:v>Open code</x:v>
      </x:c>
      <x:c r="N5" s="8" t="str">
        <x:v>Open assets</x:v>
      </x:c>
      <x:c r="O5" s="8" t="str">
        <x:v>Access</x:v>
      </x:c>
      <x:c r="P5" s="8" t="str">
        <x:v>Licence / openness</x:v>
      </x:c>
      <x:c r="Q5" s="8" t="str">
        <x:v>Evidence band</x:v>
      </x:c>
      <x:c r="R5" s="8" t="str">
        <x:v>Evidence / adoption summary</x:v>
      </x:c>
      <x:c r="S5" s="8" t="str">
        <x:v>Governance / credibility</x:v>
      </x:c>
      <x:c r="T5" s="8" t="str">
        <x:v>Public-good / equity</x:v>
      </x:c>
      <x:c r="U5" s="8" t="str">
        <x:v>Privacy / safety</x:v>
      </x:c>
      <x:c r="V5" s="8" t="str">
        <x:v>Main caveat</x:v>
      </x:c>
      <x:c r="W5" s="8" t="str">
        <x:v>Discovery signal</x:v>
      </x:c>
      <x:c r="X5" s="8" t="str">
        <x:v>Confidence</x:v>
      </x:c>
      <x:c r="Y5" s="8" t="str">
        <x:v>Source 1</x:v>
      </x:c>
      <x:c r="Z5" s="8" t="str">
        <x:v>Source 2</x:v>
      </x:c>
      <x:c r="AA5" s="8" t="str">
        <x:v>Checked</x:v>
      </x:c>
      <x:c r="AB5" s="8" t="str">
        <x:v>Open code — detailed evidence</x:v>
      </x:c>
      <x:c r="AC5" s="8" t="str">
        <x:v>First seen</x:v>
      </x:c>
      <x:c r="AD5" s="8" t="str">
        <x:v>Reconciliation note</x:v>
      </x:c>
      <x:c r="AE5" s="13" t="str">
        <x:v>Source associations</x:v>
      </x:c>
    </x:row>
    <x:row r="6" ht="51" customHeight="1">
      <x:c r="A6" s="3" t="str">
        <x:v>P001</x:v>
      </x:c>
      <x:c r="B6" s="3" t="str">
        <x:v>UNESCO — AI and the Futures of Learning</x:v>
      </x:c>
      <x:c r="C6" s="3" t="str">
        <x:v>AI × education</x:v>
      </x:c>
      <x:c r="D6" s="3" t="str">
        <x:v>Policy, guidance &amp; competency frameworks</x:v>
      </x:c>
      <x:c r="E6" s="3" t="str">
        <x:v>UNESCO</x:v>
      </x:c>
      <x:c r="F6" s="3" t="str">
        <x:v>Global</x:v>
      </x:c>
      <x:c r="G6" s="3" t="str">
        <x:v>Global</x:v>
      </x:c>
      <x:c r="H6" s="3" t="str">
        <x:v>Active global programme; launched 2021</x:v>
      </x:c>
      <x:c r="I6" s="3" t="str">
        <x:v>Ministries, policymakers, teachers and learners</x:v>
      </x:c>
      <x:c r="J6" s="3" t="str">
        <x:v>Generative-AI guidance, competency frameworks, curriculum mapping, country surveys and capacity-building</x:v>
      </x:c>
      <x:c r="K6" s="3" t="str">
        <x:v>Normative guidance; no technical interoperability specification</x:v>
      </x:c>
      <x:c r="L6" s="3" t="str">
        <x:v>N/A</x:v>
      </x:c>
      <x:c r="M6" s="3" t="str">
        <x:v>N/A</x:v>
      </x:c>
      <x:c r="N6" s="3" t="str">
        <x:v>Publications freely downloadable; licence varies by item</x:v>
      </x:c>
      <x:c r="O6" s="3" t="str">
        <x:v>Free public access</x:v>
      </x:c>
      <x:c r="P6" s="3" t="str">
        <x:v>Check each UNESCO publication</x:v>
      </x:c>
      <x:c r="Q6" s="3" t="str">
        <x:v>Normative / framework</x:v>
      </x:c>
      <x:c r="R6" s="3" t="str">
        <x:v>Strong consultative and intergovernmental basis; downstream adoption and learner effects are not systematically measured.</x:v>
      </x:c>
      <x:c r="S6" s="3" t="str">
        <x:v>Intergovernmental UNESCO process</x:v>
      </x:c>
      <x:c r="T6" s="3" t="str">
        <x:v>Explicit human-centred, rights, inclusion and sustainability framing</x:v>
      </x:c>
      <x:c r="U6" s="3" t="str">
        <x:v>Privacy and human oversight are explicit policy themes</x:v>
      </x:c>
      <x:c r="V6" s="3" t="str">
        <x:v>Credible norm-setting is not classroom-effect evidence.</x:v>
      </x:c>
      <x:c r="W6" s="3" t="str">
        <x:v>Foundational reference</x:v>
      </x:c>
      <x:c r="X6" s="3" t="str">
        <x:v>High on outputs/status; medium on effects</x:v>
      </x:c>
      <x:c r="Y6" s="3" t="str">
        <x:v>https://www.unesco.org/en/digital-education/ai-future-learning</x:v>
      </x:c>
      <x:c r="Z6" s="3" t="str">
        <x:v>https://www.unesco.org/en/articles/ai-competency-framework-students</x:v>
      </x:c>
      <x:c r="AA6" s="9" t="n">
        <x:v>46268</x:v>
      </x:c>
      <x:c r="AB6" s="3" t="str">
        <x:v>N/A</x:v>
      </x:c>
      <x:c r="AC6" s="9" t="n">
        <x:v>46268</x:v>
      </x:c>
      <x:c r="AD6" s="3" t="str"/>
      <x:c r="AE6" s="11" t="n">
        <x:f>COUNTIF('Sources'!$A$6:$A$196,A6)</x:f>
        <x:v>2</x:v>
      </x:c>
    </x:row>
    <x:row r="7" ht="51" customHeight="1">
      <x:c r="A7" s="3" t="str">
        <x:v>P002</x:v>
      </x:c>
      <x:c r="B7" s="3" t="str">
        <x:v>Experience AI</x:v>
      </x:c>
      <x:c r="C7" s="3" t="str">
        <x:v>AI × education</x:v>
      </x:c>
      <x:c r="D7" s="3" t="str">
        <x:v>AI literacy curriculum &amp; teacher development</x:v>
      </x:c>
      <x:c r="E7" s="3" t="str">
        <x:v>Raspberry Pi Foundation; Google DeepMind / Google.org</x:v>
      </x:c>
      <x:c r="F7" s="3" t="str">
        <x:v>Global</x:v>
      </x:c>
      <x:c r="G7" s="3" t="str">
        <x:v>Global through localisation partners</x:v>
      </x:c>
      <x:c r="H7" s="3" t="str">
        <x:v>Active; first resources 2023</x:v>
      </x:c>
      <x:c r="I7" s="3" t="str">
        <x:v>Learners aged roughly 11–14 and teachers</x:v>
      </x:c>
      <x:c r="J7" s="3" t="str">
        <x:v>Six-lesson AI unit, safety/LLM materials, simulations, worksheets and teacher training</x:v>
      </x:c>
      <x:c r="K7" s="3" t="str">
        <x:v>None identified</x:v>
      </x:c>
      <x:c r="L7" s="3" t="str">
        <x:v>No</x:v>
      </x:c>
      <x:c r="M7" s="3" t="str">
        <x:v>No / unclear</x:v>
      </x:c>
      <x:c r="N7" s="3" t="str">
        <x:v>Resources are free; whole-programme reusable licence not located</x:v>
      </x:c>
      <x:c r="O7" s="3" t="str">
        <x:v>Free</x:v>
      </x:c>
      <x:c r="P7" s="3" t="str">
        <x:v>Not located</x:v>
      </x:c>
      <x:c r="Q7" s="3" t="str">
        <x:v>Descriptive / adoption only</x:v>
      </x:c>
      <x:c r="R7" s="3" t="str">
        <x:v>Large download, educator-training and potential-reach claims are programme-reported; no causal learning evaluation located.</x:v>
      </x:c>
      <x:c r="S7" s="3" t="str">
        <x:v>Nonprofit-led with corporate funding and localisation partners</x:v>
      </x:c>
      <x:c r="T7" s="3" t="str">
        <x:v>Strong access, responsible-AI and localisation intent</x:v>
      </x:c>
      <x:c r="U7" s="3" t="str">
        <x:v>Mostly curriculum delivery; platform analytics not examined</x:v>
      </x:c>
      <x:c r="V7" s="3" t="str">
        <x:v>Free access should not be recorded as OER without an explicit licence.</x:v>
      </x:c>
      <x:c r="W7" s="3" t="str">
        <x:v>Scaled curriculum candidate</x:v>
      </x:c>
      <x:c r="X7" s="3" t="str">
        <x:v>High on existence; lower on effects</x:v>
      </x:c>
      <x:c r="Y7" s="3" t="str">
        <x:v>https://www.raspberrypi.org/blog/experience-ai-the-story-so-far/</x:v>
      </x:c>
      <x:c r="Z7" s="3" t="str">
        <x:v>https://www.raspberrypi.org/blog/experience-ai-reaching-millions-of-young-people-with-ai-literacy/</x:v>
      </x:c>
      <x:c r="AA7" s="9" t="n">
        <x:v>46268</x:v>
      </x:c>
      <x:c r="AB7" s="3" t="str">
        <x:v>No / unclear</x:v>
      </x:c>
      <x:c r="AC7" s="9" t="n">
        <x:v>46268</x:v>
      </x:c>
      <x:c r="AD7" s="3" t="str"/>
      <x:c r="AE7" s="11" t="n">
        <x:f>COUNTIF('Sources'!$A$6:$A$196,A7)</x:f>
        <x:v>2</x:v>
      </x:c>
    </x:row>
    <x:row r="8" ht="51" customHeight="1">
      <x:c r="A8" s="3" t="str">
        <x:v>P003</x:v>
      </x:c>
      <x:c r="B8" s="3" t="str">
        <x:v>Day of AI</x:v>
      </x:c>
      <x:c r="C8" s="3" t="str">
        <x:v>AI × education</x:v>
      </x:c>
      <x:c r="D8" s="3" t="str">
        <x:v>AI literacy curriculum &amp; teacher development</x:v>
      </x:c>
      <x:c r="E8" s="3" t="str">
        <x:v>MIT RAISE; i2 Learning</x:v>
      </x:c>
      <x:c r="F8" s="3" t="str">
        <x:v>Global</x:v>
      </x:c>
      <x:c r="G8" s="3" t="str">
        <x:v>International hubs</x:v>
      </x:c>
      <x:c r="H8" s="3" t="str">
        <x:v>Active; began 2021</x:v>
      </x:c>
      <x:c r="I8" s="3" t="str">
        <x:v>PreK–12 learners and educators</x:v>
      </x:c>
      <x:c r="J8" s="3" t="str">
        <x:v>Grade-banded AI curriculum, assessments, professional development and learning tools</x:v>
      </x:c>
      <x:c r="K8" s="3" t="str">
        <x:v>None identified</x:v>
      </x:c>
      <x:c r="L8" s="3" t="str">
        <x:v>No</x:v>
      </x:c>
      <x:c r="M8" s="3" t="str">
        <x:v>No / unclear</x:v>
      </x:c>
      <x:c r="N8" s="3" t="str">
        <x:v>Site describes materials as free/open-source, but legal terms are unresolved</x:v>
      </x:c>
      <x:c r="O8" s="3" t="str">
        <x:v>Free</x:v>
      </x:c>
      <x:c r="P8" s="3" t="str">
        <x:v>Openness claim conflicts with an all-rights-reserved footer</x:v>
      </x:c>
      <x:c r="Q8" s="3" t="str">
        <x:v>Structured implementation evaluation</x:v>
      </x:c>
      <x:c r="R8" s="3" t="str">
        <x:v>Reach and teacher-rating claims are self-reported; no independent learner-outcome evaluation located.</x:v>
      </x:c>
      <x:c r="S8" s="3" t="str">
        <x:v>MIT research provenance and nonprofit delivery</x:v>
      </x:c>
      <x:c r="T8" s="3" t="str">
        <x:v>Broad access, ethics and privacy education</x:v>
      </x:c>
      <x:c r="U8" s="3" t="str">
        <x:v>Privacy is taught; service-data practices not assessed</x:v>
      </x:c>
      <x:c r="V8" s="3" t="str">
        <x:v>Verify an explicit content/code licence before reuse.</x:v>
      </x:c>
      <x:c r="W8" s="3" t="str">
        <x:v>Promising, licence diligence needed</x:v>
      </x:c>
      <x:c r="X8" s="3" t="str">
        <x:v>High on programme; medium on reach; low on effects/licence</x:v>
      </x:c>
      <x:c r="Y8" s="3" t="str">
        <x:v>https://dayofai.org/</x:v>
      </x:c>
      <x:c r="Z8" s="3" t="str">
        <x:v>https://dayofai.org/about-us</x:v>
      </x:c>
      <x:c r="AA8" s="9" t="n">
        <x:v>46268</x:v>
      </x:c>
      <x:c r="AB8" s="3" t="str">
        <x:v>No / unclear</x:v>
      </x:c>
      <x:c r="AC8" s="9" t="n">
        <x:v>46268</x:v>
      </x:c>
      <x:c r="AD8" s="3" t="str"/>
      <x:c r="AE8" s="11" t="n">
        <x:f>COUNTIF('Sources'!$A$6:$A$196,A8)</x:f>
        <x:v>2</x:v>
      </x:c>
    </x:row>
    <x:row r="9" ht="51" customHeight="1">
      <x:c r="A9" s="3" t="str">
        <x:v>P004</x:v>
      </x:c>
      <x:c r="B9" s="3" t="str">
        <x:v>AI4T — Artificial Intelligence for and by Teachers</x:v>
      </x:c>
      <x:c r="C9" s="3" t="str">
        <x:v>AI × education</x:v>
      </x:c>
      <x:c r="D9" s="3" t="str">
        <x:v>Teacher professional learning</x:v>
      </x:c>
      <x:c r="E9" s="3" t="str">
        <x:v>France Éducation International and five-country Erasmus+ consortium</x:v>
      </x:c>
      <x:c r="F9" s="3" t="str">
        <x:v>Europe</x:v>
      </x:c>
      <x:c r="G9" s="3" t="str">
        <x:v>France, Ireland, Italy, Luxembourg, Slovenia</x:v>
      </x:c>
      <x:c r="H9" s="3" t="str">
        <x:v>Completed; 2021–Jan 2024</x:v>
      </x:c>
      <x:c r="I9" s="3" t="str">
        <x:v>Secondary mathematics, science and language teachers</x:v>
      </x:c>
      <x:c r="J9" s="3" t="str">
        <x:v>MOOC, workshops, webinars and an open textbook on understanding and using AI</x:v>
      </x:c>
      <x:c r="K9" s="3" t="str">
        <x:v>None identified</x:v>
      </x:c>
      <x:c r="L9" s="3" t="str">
        <x:v>No</x:v>
      </x:c>
      <x:c r="M9" s="3" t="str">
        <x:v>No / unclear</x:v>
      </x:c>
      <x:c r="N9" s="3" t="str">
        <x:v>Open textbook; exact licence needs item-level verification</x:v>
      </x:c>
      <x:c r="O9" s="3" t="str">
        <x:v>Public outputs</x:v>
      </x:c>
      <x:c r="P9" s="3" t="str">
        <x:v>Not located</x:v>
      </x:c>
      <x:c r="Q9" s="3" t="str">
        <x:v>Structured implementation evaluation</x:v>
      </x:c>
      <x:c r="R9" s="3" t="str">
        <x:v>Comparative questionnaires/interviews across about 1,000 teachers; evidence concerns knowledge and practice, not pupil attainment.</x:v>
      </x:c>
      <x:c r="S9" s="3" t="str">
        <x:v>Government-led Erasmus+ consortium</x:v>
      </x:c>
      <x:c r="T9" s="3" t="str">
        <x:v>Public teacher capacity and cross-country learning</x:v>
      </x:c>
      <x:c r="U9" s="3" t="str">
        <x:v>Low-risk professional-learning context</x:v>
      </x:c>
      <x:c r="V9" s="3" t="str">
        <x:v>Published participant/school denominators differ slightly across sources.</x:v>
      </x:c>
      <x:c r="W9" s="3" t="str">
        <x:v>Evaluated open teacher-learning programme</x:v>
      </x:c>
      <x:c r="X9" s="3" t="str">
        <x:v>High; medium on exact counts</x:v>
      </x:c>
      <x:c r="Y9" s="3" t="str">
        <x:v>https://www.france-education-international.fr/en/expertises/cooperation-education/projets/ai4t-artificial-intelligence-and-teachers?langue=en</x:v>
      </x:c>
      <x:c r="Z9" s="3" t="str">
        <x:v>https://hal.science/hal-04557981v1/file/AI4T_WP3_D3.3_Comparative%20European%20Evaluation%20Report.pdf</x:v>
      </x:c>
      <x:c r="AA9" s="9" t="n">
        <x:v>46268</x:v>
      </x:c>
      <x:c r="AB9" s="3" t="str">
        <x:v>No / unclear</x:v>
      </x:c>
      <x:c r="AC9" s="9" t="n">
        <x:v>46268</x:v>
      </x:c>
      <x:c r="AD9" s="3" t="str"/>
      <x:c r="AE9" s="11" t="n">
        <x:f>COUNTIF('Sources'!$A$6:$A$196,A9)</x:f>
        <x:v>2</x:v>
      </x:c>
    </x:row>
    <x:row r="10" ht="51" customHeight="1">
      <x:c r="A10" s="3" t="str">
        <x:v>P005</x:v>
      </x:c>
      <x:c r="B10" s="3" t="str">
        <x:v>NOLAI — National Education Lab AI</x:v>
      </x:c>
      <x:c r="C10" s="3" t="str">
        <x:v>AI × education</x:v>
      </x:c>
      <x:c r="D10" s="3" t="str">
        <x:v>National R&amp;D and co-design lab</x:v>
      </x:c>
      <x:c r="E10" s="3" t="str">
        <x:v>Radboud University with Dutch schools, researchers, firms and government</x:v>
      </x:c>
      <x:c r="F10" s="3" t="str">
        <x:v>Europe</x:v>
      </x:c>
      <x:c r="G10" s="3" t="str">
        <x:v>Netherlands</x:v>
      </x:c>
      <x:c r="H10" s="3" t="str">
        <x:v>Active long-horizon programme (approx. 2022–2032)</x:v>
      </x:c>
      <x:c r="I10" s="3" t="str">
        <x:v>Primary, secondary and special-education communities</x:v>
      </x:c>
      <x:c r="J10" s="3" t="str">
        <x:v>School-co-designed AI applications, scientific studies and embedded ethics work</x:v>
      </x:c>
      <x:c r="K10" s="3" t="str">
        <x:v>None identified</x:v>
      </x:c>
      <x:c r="L10" s="3" t="str">
        <x:v>No</x:v>
      </x:c>
      <x:c r="M10" s="3" t="str">
        <x:v>Partial / unresolved</x:v>
      </x:c>
      <x:c r="N10" s="3" t="str">
        <x:v>Outputs to be shared open source ‘as much as possible’ from 2026</x:v>
      </x:c>
      <x:c r="O10" s="3" t="str">
        <x:v>Project dependent</x:v>
      </x:c>
      <x:c r="P10" s="3" t="str">
        <x:v>No complete public release/licence inventory located</x:v>
      </x:c>
      <x:c r="Q10" s="3" t="str">
        <x:v>Structured implementation evaluation</x:v>
      </x:c>
      <x:c r="R10" s="3" t="str">
        <x:v>Substantial public R&amp;D programme; evidence varies by subproject and many products remain developmental.</x:v>
      </x:c>
      <x:c r="S10" s="3" t="str">
        <x:v>Radboud-led; about €36m public/EU-backed investment; embedded ethics</x:v>
      </x:c>
      <x:c r="T10" s="3" t="str">
        <x:v>Co-creation, responsible AI and school relevance are core</x:v>
      </x:c>
      <x:c r="U10" s="3" t="str">
        <x:v>Project-level assessment required</x:v>
      </x:c>
      <x:c r="V10" s="3" t="str">
        <x:v>Conditional openness and commercial partners may constrain reuse.</x:v>
      </x:c>
      <x:c r="W10" s="3" t="str">
        <x:v>High-priority R&amp;D ecosystem</x:v>
      </x:c>
      <x:c r="X10" s="3" t="str">
        <x:v>High on existence; lower on effects</x:v>
      </x:c>
      <x:c r="Y10" s="3" t="str">
        <x:v>https://www.ru.nl/en/nolai</x:v>
      </x:c>
      <x:c r="Z10" s="3" t="str">
        <x:v>https://reforms-investments.ec.europa.eu/projects/national-education-lab-ai_en</x:v>
      </x:c>
      <x:c r="AA10" s="9" t="n">
        <x:v>46268</x:v>
      </x:c>
      <x:c r="AB10" s="3" t="str">
        <x:v>Partial / promised</x:v>
      </x:c>
      <x:c r="AC10" s="9" t="n">
        <x:v>46268</x:v>
      </x:c>
      <x:c r="AD10" s="3" t="str"/>
      <x:c r="AE10" s="11" t="n">
        <x:f>COUNTIF('Sources'!$A$6:$A$196,A10)</x:f>
        <x:v>2</x:v>
      </x:c>
    </x:row>
    <x:row r="11" ht="51" customHeight="1">
      <x:c r="A11" s="3" t="str">
        <x:v>P006</x:v>
      </x:c>
      <x:c r="B11" s="3" t="str">
        <x:v>P2IA — Partenariat d’innovation intelligence artificielle</x:v>
      </x:c>
      <x:c r="C11" s="3" t="str">
        <x:v>AI × education</x:v>
      </x:c>
      <x:c r="D11" s="3" t="str">
        <x:v>Classroom adaptive learning procurement</x:v>
      </x:c>
      <x:c r="E11" s="3" t="str">
        <x:v>French Ministry of National Education with vendor/research consortia</x:v>
      </x:c>
      <x:c r="F11" s="3" t="str">
        <x:v>Europe</x:v>
      </x:c>
      <x:c r="G11" s="3" t="str">
        <x:v>France</x:v>
      </x:c>
      <x:c r="H11" s="3" t="str">
        <x:v>Operational product family; procurement began 2019</x:v>
      </x:c>
      <x:c r="I11" s="3" t="str">
        <x:v>Early-primary pupils and teachers</x:v>
      </x:c>
      <x:c r="J11" s="3" t="str">
        <x:v>Adaptive French/mathematics services, recommendations, grouping support and dashboards</x:v>
      </x:c>
      <x:c r="K11" s="3" t="str">
        <x:v>Integrated through France’s GAR environment; no open AI interface found</x:v>
      </x:c>
      <x:c r="L11" s="3" t="str">
        <x:v>No</x:v>
      </x:c>
      <x:c r="M11" s="3" t="str">
        <x:v>No / unclear</x:v>
      </x:c>
      <x:c r="N11" s="3" t="str">
        <x:v>No / unclear</x:v>
      </x:c>
      <x:c r="O11" s="3" t="str">
        <x:v>Public-school access</x:v>
      </x:c>
      <x:c r="P11" s="3" t="str">
        <x:v>Publicly procured but largely proprietary</x:v>
      </x:c>
      <x:c r="Q11" s="3" t="str">
        <x:v>Structured implementation evaluation</x:v>
      </x:c>
      <x:c r="R11" s="3" t="str">
        <x:v>Ministry-supervised classroom experimentation; no public causal results located.</x:v>
      </x:c>
      <x:c r="S11" s="3" t="str">
        <x:v>National innovative procurement with research participation</x:v>
      </x:c>
      <x:c r="T11" s="3" t="str">
        <x:v>Foundational learning and teacher support</x:v>
      </x:c>
      <x:c r="U11" s="3" t="str">
        <x:v>Child learning data; public detail limited</x:v>
      </x:c>
      <x:c r="V11" s="3" t="str">
        <x:v>Procurement selection and deployment are not proof of efficacy.</x:v>
      </x:c>
      <x:c r="W11" s="3" t="str">
        <x:v>Scaled public-private deployment</x:v>
      </x:c>
      <x:c r="X11" s="3" t="str">
        <x:v>High on existence; lower on effects</x:v>
      </x:c>
      <x:c r="Y11" s="3" t="str">
        <x:v>https://www.education.gouv.fr/le-numerique-au-service-de-l-ecole-de-la-confiance-468410</x:v>
      </x:c>
      <x:c r="Z11" s="3" t="str">
        <x:v>https://eduscol.education.gouv.fr/6714/l-intelligence-artificielle-pour-accompagner-les-apprentissages-des-fondamentaux-au-cycle-2</x:v>
      </x:c>
      <x:c r="AA11" s="9" t="n">
        <x:v>46268</x:v>
      </x:c>
      <x:c r="AB11" s="3" t="str">
        <x:v>No / unclear</x:v>
      </x:c>
      <x:c r="AC11" s="9" t="n">
        <x:v>46268</x:v>
      </x:c>
      <x:c r="AD11" s="3" t="str"/>
      <x:c r="AE11" s="11" t="n">
        <x:f>COUNTIF('Sources'!$A$6:$A$196,A11)</x:f>
        <x:v>2</x:v>
      </x:c>
    </x:row>
    <x:row r="12" ht="64" customHeight="1">
      <x:c r="A12" s="3" t="str">
        <x:v>P007</x:v>
      </x:c>
      <x:c r="B12" s="3" t="str">
        <x:v>M.I.A. Seconde</x:v>
      </x:c>
      <x:c r="C12" s="3" t="str">
        <x:v>AI × education</x:v>
      </x:c>
      <x:c r="D12" s="3" t="str">
        <x:v>Classroom adaptive remediation</x:v>
      </x:c>
      <x:c r="E12" s="3" t="str">
        <x:v>French Ministry of National Education and vendor/research consortium</x:v>
      </x:c>
      <x:c r="F12" s="3" t="str">
        <x:v>Europe</x:v>
      </x:c>
      <x:c r="G12" s="3" t="str">
        <x:v>France</x:v>
      </x:c>
      <x:c r="H12" s="3" t="str">
        <x:v>National access from 2025–26 after 2024–25 study</x:v>
      </x:c>
      <x:c r="I12" s="3" t="str">
        <x:v>Grade-10 pupils and teachers</x:v>
      </x:c>
      <x:c r="J12" s="3" t="str">
        <x:v>24 adaptive French/mathematics modules and 20,000+ exercises; web/mobile/offline</x:v>
      </x:c>
      <x:c r="K12" s="3" t="str">
        <x:v>None identified</x:v>
      </x:c>
      <x:c r="L12" s="3" t="str">
        <x:v>No</x:v>
      </x:c>
      <x:c r="M12" s="3" t="str">
        <x:v>No / unclear</x:v>
      </x:c>
      <x:c r="N12" s="3" t="str">
        <x:v>No / unclear</x:v>
      </x:c>
      <x:c r="O12" s="3" t="str">
        <x:v>Free to target public schools</x:v>
      </x:c>
      <x:c r="P12" s="3" t="str">
        <x:v>Proprietary service/content terms not transparent</x:v>
      </x:c>
      <x:c r="Q12" s="3" t="str">
        <x:v>Controlled study — results unclear</x:v>
      </x:c>
      <x:c r="R12" s="3" t="str">
        <x:v>A randomised institution-level comparison was designed, but interpretable final effects were not extracted in this pass.</x:v>
      </x:c>
      <x:c r="S12" s="3" t="str">
        <x:v>National ministry; about 40 teachers and 14 researchers/labs involved</x:v>
      </x:c>
      <x:c r="T12" s="3" t="str">
        <x:v>National remediation and offline access</x:v>
      </x:c>
      <x:c r="U12" s="3" t="str">
        <x:v>Adaptive learner profiling needs deeper review</x:v>
      </x:c>
      <x:c r="V12" s="3" t="str">
        <x:v>Do not infer impact from rollout; retrieve and appraise the DEPP results.</x:v>
      </x:c>
      <x:c r="W12" s="3" t="str">
        <x:v>High-priority evaluation follow-up</x:v>
      </x:c>
      <x:c r="X12" s="3" t="str">
        <x:v>High on product/scale; medium on design; low on outcomes</x:v>
      </x:c>
      <x:c r="Y12" s="3" t="str">
        <x:v>https://eduscol.education.gouv.fr/6693/mia-seconde-une-approche-personnalisee-de-la-remediation-en-francais-et-en-mathematiques</x:v>
      </x:c>
      <x:c r="Z12" s="3" t="str">
        <x:v>https://archives-statistiques-depp.education.gouv.fr/digitalCollection/DigitalCollectionAttachmentDownloadHandler.ashx?documentId=57216&amp;parentDocumentId=50460&amp;skipCopyright=true&amp;skipWatermark=true</x:v>
      </x:c>
      <x:c r="AA12" s="9" t="n">
        <x:v>46268</x:v>
      </x:c>
      <x:c r="AB12" s="3" t="str">
        <x:v>No / unclear</x:v>
      </x:c>
      <x:c r="AC12" s="9" t="n">
        <x:v>46268</x:v>
      </x:c>
      <x:c r="AD12" s="3" t="str"/>
      <x:c r="AE12" s="11" t="n">
        <x:f>COUNTIF('Sources'!$A$6:$A$196,A12)</x:f>
        <x:v>2</x:v>
      </x:c>
    </x:row>
    <x:row r="13" ht="51" customHeight="1">
      <x:c r="A13" s="3" t="str">
        <x:v>P008</x:v>
      </x:c>
      <x:c r="B13" s="3" t="str">
        <x:v>AI Leap / TI-Hüpe</x:v>
      </x:c>
      <x:c r="C13" s="3" t="str">
        <x:v>AI × education</x:v>
      </x:c>
      <x:c r="D13" s="3" t="str">
        <x:v>National AI access and literacy programme</x:v>
      </x:c>
      <x:c r="E13" s="3" t="str">
        <x:v>Estonian Ministry of Education, President’s Digital Council and AI Leap Foundation</x:v>
      </x:c>
      <x:c r="F13" s="3" t="str">
        <x:v>Europe</x:v>
      </x:c>
      <x:c r="G13" s="3" t="str">
        <x:v>Estonia</x:v>
      </x:c>
      <x:c r="H13" s="3" t="str">
        <x:v>Operational in 2025–26; expanding</x:v>
      </x:c>
      <x:c r="I13" s="3" t="str">
        <x:v>Upper-secondary pupils and teachers, later vocational education</x:v>
      </x:c>
      <x:c r="J13" s="3" t="str">
        <x:v>Teacher training and a learning-oriented Socratic AI application</x:v>
      </x:c>
      <x:c r="K13" s="3" t="str">
        <x:v>None identified</x:v>
      </x:c>
      <x:c r="L13" s="3" t="str">
        <x:v>No</x:v>
      </x:c>
      <x:c r="M13" s="3" t="str">
        <x:v>No / unclear</x:v>
      </x:c>
      <x:c r="N13" s="3" t="str">
        <x:v>No / unclear</x:v>
      </x:c>
      <x:c r="O13" s="3" t="str">
        <x:v>Equal/free access is a stated goal</x:v>
      </x:c>
      <x:c r="P13" s="3" t="str">
        <x:v>Application and frontier models are proprietary</x:v>
      </x:c>
      <x:c r="Q13" s="3" t="str">
        <x:v>Descriptive / adoption only</x:v>
      </x:c>
      <x:c r="R13" s="3" t="str">
        <x:v>Public rollout figures changed from the original plan; no learning-outcome evaluation yet.</x:v>
      </x:c>
      <x:c r="S13" s="3" t="str">
        <x:v>National public-private collaboration including OpenAI and Anthropic</x:v>
      </x:c>
      <x:c r="T13" s="3" t="str">
        <x:v>Equity, critical thinking and AI ethics are explicit</x:v>
      </x:c>
      <x:c r="U13" s="3" t="str">
        <x:v>National child-data and provider governance needs diligence</x:v>
      </x:c>
      <x:c r="V13" s="3" t="str">
        <x:v>Schedule and reach figures differ across 2025 and 2026 sources.</x:v>
      </x:c>
      <x:c r="W13" s="3" t="str">
        <x:v>Strategic national deployment</x:v>
      </x:c>
      <x:c r="X13" s="3" t="str">
        <x:v>High on existence; lower on effects</x:v>
      </x:c>
      <x:c r="Y13" s="3" t="str">
        <x:v>https://www.hm.ee/en/news/estonia-announces-groundbreaking-national-initiative-ai-leap-programme-bring-ai-tools-all</x:v>
      </x:c>
      <x:c r="Z13" s="3" t="str">
        <x:v>https://tihupe.ee/en/</x:v>
      </x:c>
      <x:c r="AA13" s="9" t="n">
        <x:v>46268</x:v>
      </x:c>
      <x:c r="AB13" s="3" t="str">
        <x:v>No / unclear</x:v>
      </x:c>
      <x:c r="AC13" s="9" t="n">
        <x:v>46268</x:v>
      </x:c>
      <x:c r="AD13" s="3" t="str"/>
      <x:c r="AE13" s="11" t="n">
        <x:f>COUNTIF('Sources'!$A$6:$A$196,A13)</x:f>
        <x:v>2</x:v>
      </x:c>
    </x:row>
    <x:row r="14" ht="51" customHeight="1">
      <x:c r="A14" s="3" t="str">
        <x:v>P009</x:v>
      </x:c>
      <x:c r="B14" s="3" t="str">
        <x:v>Singapore Student Learning Space AI / Adaptive Learning System</x:v>
      </x:c>
      <x:c r="C14" s="3" t="str">
        <x:v>AI × education</x:v>
      </x:c>
      <x:c r="D14" s="3" t="str">
        <x:v>National learning platform</x:v>
      </x:c>
      <x:c r="E14" s="3" t="str">
        <x:v>Singapore Ministry of Education and GovTech</x:v>
      </x:c>
      <x:c r="F14" s="3" t="str">
        <x:v>Asia</x:v>
      </x:c>
      <x:c r="G14" s="3" t="str">
        <x:v>Singapore</x:v>
      </x:c>
      <x:c r="H14" s="3" t="str">
        <x:v>Scaled national deployment; ALS began 2023</x:v>
      </x:c>
      <x:c r="I14" s="3" t="str">
        <x:v>School learners and teachers</x:v>
      </x:c>
      <x:c r="J14" s="3" t="str">
        <x:v>Adaptive recommendations, short-answer feedback and teacher-facing support inside SLS</x:v>
      </x:c>
      <x:c r="K14" s="3" t="str">
        <x:v>None identified</x:v>
      </x:c>
      <x:c r="L14" s="3" t="str">
        <x:v>No</x:v>
      </x:c>
      <x:c r="M14" s="3" t="str">
        <x:v>No / unclear</x:v>
      </x:c>
      <x:c r="N14" s="3" t="str">
        <x:v>No / unclear</x:v>
      </x:c>
      <x:c r="O14" s="3" t="str">
        <x:v>Universal public-school platform</x:v>
      </x:c>
      <x:c r="P14" s="3" t="str">
        <x:v>Closed software and data</x:v>
      </x:c>
      <x:c r="Q14" s="3" t="str">
        <x:v>Descriptive / adoption only</x:v>
      </x:c>
      <x:c r="R14" s="3" t="str">
        <x:v>Official sources document functionality and rollout, not causal attainment effects.</x:v>
      </x:c>
      <x:c r="S14" s="3" t="str">
        <x:v>Strong ministry/GovTech ownership and pedagogical requirements</x:v>
      </x:c>
      <x:c r="T14" s="3" t="str">
        <x:v>Universal national provision and age-appropriate use</x:v>
      </x:c>
      <x:c r="U14" s="3" t="str">
        <x:v>Child data, bias audits and detailed algorithmic performance are not public</x:v>
      </x:c>
      <x:c r="V14" s="3" t="str">
        <x:v>Mature deployment with limited independent outcome transparency.</x:v>
      </x:c>
      <x:c r="W14" s="3" t="str">
        <x:v>Scaled public infrastructure</x:v>
      </x:c>
      <x:c r="X14" s="3" t="str">
        <x:v>High on existence; lower on effects</x:v>
      </x:c>
      <x:c r="Y14" s="3" t="str">
        <x:v>https://www.moe.gov.sg/education-in-sg/educational-technology-journey/edtech-masterplan/artificial-intelligence-in-education</x:v>
      </x:c>
      <x:c r="Z14" s="3" t="str">
        <x:v>https://www.moe.gov.sg/news/press-releases/20230920-more-support-for-schools-and-students-to-shape-the-future-of-learning</x:v>
      </x:c>
      <x:c r="AA14" s="9" t="n">
        <x:v>46268</x:v>
      </x:c>
      <x:c r="AB14" s="3" t="str">
        <x:v>No / unclear</x:v>
      </x:c>
      <x:c r="AC14" s="9" t="n">
        <x:v>46268</x:v>
      </x:c>
      <x:c r="AD14" s="3" t="str"/>
      <x:c r="AE14" s="11" t="n">
        <x:f>COUNTIF('Sources'!$A$6:$A$196,A14)</x:f>
        <x:v>2</x:v>
      </x:c>
    </x:row>
    <x:row r="15" ht="51" customHeight="1">
      <x:c r="A15" s="3" t="str">
        <x:v>P010</x:v>
      </x:c>
      <x:c r="B15" s="3" t="str">
        <x:v>Shiksha Copilot</x:v>
      </x:c>
      <x:c r="C15" s="3" t="str">
        <x:v>AI × education × open</x:v>
      </x:c>
      <x:c r="D15" s="3" t="str">
        <x:v>Teacher planning copilot</x:v>
      </x:c>
      <x:c r="E15" s="3" t="str">
        <x:v>Microsoft Research India and Sikshana Foundation</x:v>
      </x:c>
      <x:c r="F15" s="3" t="str">
        <x:v>Asia</x:v>
      </x:c>
      <x:c r="G15" s="3" t="str">
        <x:v>Karnataka, India</x:v>
      </x:c>
      <x:c r="H15" s="3" t="str">
        <x:v>Field deployment from 2023; open repository released</x:v>
      </x:c>
      <x:c r="I15" s="3" t="str">
        <x:v>Government-school teachers and content curators</x:v>
      </x:c>
      <x:c r="J15" s="3" t="str">
        <x:v>Kannada/English curriculum-grounded lesson plans, activities and assessments using RAG/OCR</x:v>
      </x:c>
      <x:c r="K15" s="3" t="str">
        <x:v>None identified</x:v>
      </x:c>
      <x:c r="L15" s="3" t="str">
        <x:v>No</x:v>
      </x:c>
      <x:c r="M15" s="3" t="str">
        <x:v>Yes</x:v>
      </x:c>
      <x:c r="N15" s="3" t="str">
        <x:v>Code open; content/provider dependencies mixed</x:v>
      </x:c>
      <x:c r="O15" s="3" t="str">
        <x:v>Pilot / partner deployment</x:v>
      </x:c>
      <x:c r="P15" s="3" t="str">
        <x:v>MIT repository; Azure/OpenAI and some content dependencies proprietary</x:v>
      </x:c>
      <x:c r="Q15" s="3" t="str">
        <x:v>Peer-reviewed / mixed-method field study</x:v>
      </x:c>
      <x:c r="R15" s="3" t="str">
        <x:v>Study covers 1,043 teachers and 23 curators; workflow/practice evidence, not pupil learning outcomes.</x:v>
      </x:c>
      <x:c r="S15" s="3" t="str">
        <x:v>Teacher co-design, curator review and responsible-AI testing</x:v>
      </x:c>
      <x:c r="T15" s="3" t="str">
        <x:v>Local-language support for resource-constrained public schools</x:v>
      </x:c>
      <x:c r="U15" s="3" t="str">
        <x:v>Prompt/document governance and cloud-provider handling need local controls</x:v>
      </x:c>
      <x:c r="V15" s="3" t="str">
        <x:v>Open code does not remove closed service and content dependencies.</x:v>
      </x:c>
      <x:c r="W15" s="3" t="str">
        <x:v>Strong explicit-intersection candidate</x:v>
      </x:c>
      <x:c r="X15" s="3" t="str">
        <x:v>High on implementation; medium on practice effects</x:v>
      </x:c>
      <x:c r="Y15" s="3" t="str">
        <x:v>https://github.com/microsoft/Shiksha-Copilot</x:v>
      </x:c>
      <x:c r="Z15" s="3" t="str">
        <x:v>https://www.microsoft.com/en-us/research/publication/teacher-ai-collaboration-for-curating-and-customizing-lesson-plans-in-low-resource-schools/</x:v>
      </x:c>
      <x:c r="AA15" s="9" t="n">
        <x:v>46268</x:v>
      </x:c>
      <x:c r="AB15" s="3" t="str">
        <x:v>Yes — partial production stack</x:v>
      </x:c>
      <x:c r="AC15" s="9" t="n">
        <x:v>46268</x:v>
      </x:c>
      <x:c r="AD15" s="3" t="str"/>
      <x:c r="AE15" s="11" t="n">
        <x:f>COUNTIF('Sources'!$A$6:$A$196,A15)</x:f>
        <x:v>2</x:v>
      </x:c>
    </x:row>
    <x:row r="16" ht="51" customHeight="1">
      <x:c r="A16" s="3" t="str">
        <x:v>P011</x:v>
      </x:c>
      <x:c r="B16" s="3" t="str">
        <x:v>Mindspark</x:v>
      </x:c>
      <x:c r="C16" s="3" t="str">
        <x:v>AI × education</x:v>
      </x:c>
      <x:c r="D16" s="3" t="str">
        <x:v>Adaptive learning</x:v>
      </x:c>
      <x:c r="E16" s="3" t="str">
        <x:v>Educational Initiatives</x:v>
      </x:c>
      <x:c r="F16" s="3" t="str">
        <x:v>Asia</x:v>
      </x:c>
      <x:c r="G16" s="3" t="str">
        <x:v>India; wider commercial deployments</x:v>
      </x:c>
      <x:c r="H16" s="3" t="str">
        <x:v>Established commercial product</x:v>
      </x:c>
      <x:c r="I16" s="3" t="str">
        <x:v>Learners in mathematics and languages</x:v>
      </x:c>
      <x:c r="J16" s="3" t="str">
        <x:v>Personalised instruction keyed to actual learner level</x:v>
      </x:c>
      <x:c r="K16" s="3" t="str">
        <x:v>None identified</x:v>
      </x:c>
      <x:c r="L16" s="3" t="str">
        <x:v>No</x:v>
      </x:c>
      <x:c r="M16" s="3" t="str">
        <x:v>No / unclear</x:v>
      </x:c>
      <x:c r="N16" s="3" t="str">
        <x:v>No / unclear</x:v>
      </x:c>
      <x:c r="O16" s="3" t="str">
        <x:v>Paid / programme-funded</x:v>
      </x:c>
      <x:c r="P16" s="3" t="str">
        <x:v>Proprietary</x:v>
      </x:c>
      <x:c r="Q16" s="3" t="str">
        <x:v>Causal learner outcomes</x:v>
      </x:c>
      <x:c r="R16" s="3" t="str">
        <x:v>Lottery-based RCT over about 4.5 months found +0.37 SD mathematics and +0.23 SD Hindi in the tested Delhi after-school model.</x:v>
      </x:c>
      <x:c r="S16" s="3" t="str">
        <x:v>Commercial vendor; independently evaluated by academic/J-PAL researchers</x:v>
      </x:c>
      <x:c r="T16" s="3" t="str">
        <x:v>Trial reached disadvantaged learners far below grade level</x:v>
      </x:c>
      <x:c r="U16" s="3" t="str">
        <x:v>Learner profiling practices require product-specific review</x:v>
      </x:c>
      <x:c r="V16" s="3" t="str">
        <x:v>Evidence predates GenAI and may not generalise to current versions or ordinary classrooms.</x:v>
      </x:c>
      <x:c r="W16" s="3" t="str">
        <x:v>Strong-evidence boundary case</x:v>
      </x:c>
      <x:c r="X16" s="3" t="str">
        <x:v>High</x:v>
      </x:c>
      <x:c r="Y16" s="3" t="str">
        <x:v>https://www.aeaweb.org/articles?id=10.1257%2Faer.20171112</x:v>
      </x:c>
      <x:c r="Z16" s="3" t="str">
        <x:v>https://www.povertyactionlab.org/evaluation/disrupting-education-evidence-technology-aided-instruction-india</x:v>
      </x:c>
      <x:c r="AA16" s="9" t="n">
        <x:v>46268</x:v>
      </x:c>
      <x:c r="AB16" s="3" t="str">
        <x:v>No / unclear</x:v>
      </x:c>
      <x:c r="AC16" s="9" t="n">
        <x:v>46268</x:v>
      </x:c>
      <x:c r="AD16" s="3" t="str"/>
      <x:c r="AE16" s="11" t="n">
        <x:f>COUNTIF('Sources'!$A$6:$A$196,A16)</x:f>
        <x:v>2</x:v>
      </x:c>
    </x:row>
    <x:row r="17" ht="51" customHeight="1">
      <x:c r="A17" s="3" t="str">
        <x:v>P012</x:v>
      </x:c>
      <x:c r="B17" s="3" t="str">
        <x:v>AI Digital Textbooks</x:v>
      </x:c>
      <x:c r="C17" s="3" t="str">
        <x:v>AI × education</x:v>
      </x:c>
      <x:c r="D17" s="3" t="str">
        <x:v>National digital curriculum deployment</x:v>
      </x:c>
      <x:c r="E17" s="3" t="str">
        <x:v>Republic of Korea Ministry of Education and private publishers</x:v>
      </x:c>
      <x:c r="F17" s="3" t="str">
        <x:v>Asia</x:v>
      </x:c>
      <x:c r="G17" s="3" t="str">
        <x:v>South Korea</x:v>
      </x:c>
      <x:c r="H17" s="3" t="str">
        <x:v>Launched 2025, then reclassified as optional/supplementary</x:v>
      </x:c>
      <x:c r="I17" s="3" t="str">
        <x:v>School pupils and teachers</x:v>
      </x:c>
      <x:c r="J17" s="3" t="str">
        <x:v>Adaptive content, pathways, dashboards and tutoring in selected subjects</x:v>
      </x:c>
      <x:c r="K17" s="3" t="str">
        <x:v>None identified</x:v>
      </x:c>
      <x:c r="L17" s="3" t="str">
        <x:v>No</x:v>
      </x:c>
      <x:c r="M17" s="3" t="str">
        <x:v>No / unclear</x:v>
      </x:c>
      <x:c r="N17" s="3" t="str">
        <x:v>No / unclear</x:v>
      </x:c>
      <x:c r="O17" s="3" t="str">
        <x:v>School procurement / optional use</x:v>
      </x:c>
      <x:c r="P17" s="3" t="str">
        <x:v>Proprietary approved products</x:v>
      </x:c>
      <x:c r="Q17" s="3" t="str">
        <x:v>Descriptive / adoption only</x:v>
      </x:c>
      <x:c r="R17" s="3" t="str">
        <x:v>Large investment and rollout preceded strong learning evidence; public concerns drove legal reversal.</x:v>
      </x:c>
      <x:c r="S17" s="3" t="str">
        <x:v>National ministry approval with private vendor ecosystem</x:v>
      </x:c>
      <x:c r="T17" s="3" t="str">
        <x:v>Personalisation and national infrastructure were stated goals</x:v>
      </x:c>
      <x:c r="U17" s="3" t="str">
        <x:v>Privacy, screen time, reliability and procurement concentration became central concerns</x:v>
      </x:c>
      <x:c r="V17" s="3" t="str">
        <x:v>Important partial-rollback case; current local uptake varies.</x:v>
      </x:c>
      <x:c r="W17" s="3" t="str">
        <x:v>Cautionary system case</x:v>
      </x:c>
      <x:c r="X17" s="3" t="str">
        <x:v>High on chronology; medium on current uptake</x:v>
      </x:c>
      <x:c r="Y17" s="3" t="str">
        <x:v>https://english.moe.go.kr/boardCnts/viewRenewal.do?boardID=265&amp;boardSeq=102075&amp;lev=0&amp;m=0201&amp;opType=N&amp;page=1&amp;s=english</x:v>
      </x:c>
      <x:c r="Z17" s="3" t="str">
        <x:v>https://www.koreaherald.com/article/10546695</x:v>
      </x:c>
      <x:c r="AA17" s="9" t="n">
        <x:v>46268</x:v>
      </x:c>
      <x:c r="AB17" s="3" t="str">
        <x:v>No / unclear</x:v>
      </x:c>
      <x:c r="AC17" s="9" t="n">
        <x:v>46268</x:v>
      </x:c>
      <x:c r="AD17" s="3" t="str"/>
      <x:c r="AE17" s="11" t="n">
        <x:f>COUNTIF('Sources'!$A$6:$A$196,A17)</x:f>
        <x:v>2</x:v>
      </x:c>
    </x:row>
    <x:row r="18" ht="51" customHeight="1">
      <x:c r="A18" s="3" t="str">
        <x:v>P013</x:v>
      </x:c>
      <x:c r="B18" s="3" t="str">
        <x:v>MEXT Generative AI Pilot Schools</x:v>
      </x:c>
      <x:c r="C18" s="3" t="str">
        <x:v>AI × education</x:v>
      </x:c>
      <x:c r="D18" s="3" t="str">
        <x:v>Government test-and-learn programme</x:v>
      </x:c>
      <x:c r="E18" s="3" t="str">
        <x:v>Japan Ministry of Education, Culture, Sports, Science and Technology</x:v>
      </x:c>
      <x:c r="F18" s="3" t="str">
        <x:v>Asia</x:v>
      </x:c>
      <x:c r="G18" s="3" t="str">
        <x:v>Japan</x:v>
      </x:c>
      <x:c r="H18" s="3" t="str">
        <x:v>Pilot cohorts FY2023–24; guidance continues</x:v>
      </x:c>
      <x:c r="I18" s="3" t="str">
        <x:v>Schools, pupils, teachers and administrators</x:v>
      </x:c>
      <x:c r="J18" s="3" t="str">
        <x:v>Classroom/admin experiments, case collection, guidance and training</x:v>
      </x:c>
      <x:c r="K18" s="3" t="str">
        <x:v>None identified</x:v>
      </x:c>
      <x:c r="L18" s="3" t="str">
        <x:v>No</x:v>
      </x:c>
      <x:c r="M18" s="3" t="str">
        <x:v>No / unclear</x:v>
      </x:c>
      <x:c r="N18" s="3" t="str">
        <x:v>Guidance and case materials public; tools/data closed</x:v>
      </x:c>
      <x:c r="O18" s="3" t="str">
        <x:v>Designated pilots</x:v>
      </x:c>
      <x:c r="P18" s="3" t="str">
        <x:v>Underlying third-party tools vary</x:v>
      </x:c>
      <x:c r="Q18" s="3" t="str">
        <x:v>Structured implementation evaluation</x:v>
      </x:c>
      <x:c r="R18" s="3" t="str">
        <x:v>Government case-learning programme; no robust cross-pilot learner-outcome evaluation found.</x:v>
      </x:c>
      <x:c r="S18" s="3" t="str">
        <x:v>National ministry with versioned guidance</x:v>
      </x:c>
      <x:c r="T18" s="3" t="str">
        <x:v>Safe, age-appropriate experimentation and sector learning</x:v>
      </x:c>
      <x:c r="U18" s="3" t="str">
        <x:v>Personal data, copyright and verification are explicit guardrails</x:v>
      </x:c>
      <x:c r="V18" s="3" t="str">
        <x:v>A heterogeneous pilot portfolio, not one standardised intervention.</x:v>
      </x:c>
      <x:c r="W18" s="3" t="str">
        <x:v>Government learning programme</x:v>
      </x:c>
      <x:c r="X18" s="3" t="str">
        <x:v>High on existence; lower on effects</x:v>
      </x:c>
      <x:c r="Y18" s="3" t="str">
        <x:v>https://www.mext.go.jp/a_menu/other/mext_02412.html</x:v>
      </x:c>
      <x:c r="Z18" s="3"/>
      <x:c r="AA18" s="9" t="n">
        <x:v>46268</x:v>
      </x:c>
      <x:c r="AB18" s="3" t="str">
        <x:v>No / unclear</x:v>
      </x:c>
      <x:c r="AC18" s="9" t="n">
        <x:v>46268</x:v>
      </x:c>
      <x:c r="AD18" s="3" t="str"/>
      <x:c r="AE18" s="11" t="n">
        <x:f>COUNTIF('Sources'!$A$6:$A$196,A18)</x:f>
        <x:v>1</x:v>
      </x:c>
    </x:row>
    <x:row r="19" ht="51" customHeight="1">
      <x:c r="A19" s="3" t="str">
        <x:v>P014</x:v>
      </x:c>
      <x:c r="B19" s="3" t="str">
        <x:v>Cool English / CoolE Bot</x:v>
      </x:c>
      <x:c r="C19" s="3" t="str">
        <x:v>AI × education</x:v>
      </x:c>
      <x:c r="D19" s="3" t="str">
        <x:v>National language-learning platform</x:v>
      </x:c>
      <x:c r="E19" s="3" t="str">
        <x:v>Taiwan Ministry of Education / K–12 Education Administration and NTNU</x:v>
      </x:c>
      <x:c r="F19" s="3" t="str">
        <x:v>Asia</x:v>
      </x:c>
      <x:c r="G19" s="3" t="str">
        <x:v>Taiwan</x:v>
      </x:c>
      <x:c r="H19" s="3" t="str">
        <x:v>Scaled service; platform since 2015, current AI functions</x:v>
      </x:c>
      <x:c r="I19" s="3" t="str">
        <x:v>School pupils and English teachers</x:v>
      </x:c>
      <x:c r="J19" s="3" t="str">
        <x:v>Speech scoring, conversational practice and automated writing feedback</x:v>
      </x:c>
      <x:c r="K19" s="3" t="str">
        <x:v>None identified</x:v>
      </x:c>
      <x:c r="L19" s="3" t="str">
        <x:v>No</x:v>
      </x:c>
      <x:c r="M19" s="3" t="str">
        <x:v>No / unclear</x:v>
      </x:c>
      <x:c r="N19" s="3" t="str">
        <x:v>No / unclear</x:v>
      </x:c>
      <x:c r="O19" s="3" t="str">
        <x:v>Free government service</x:v>
      </x:c>
      <x:c r="P19" s="3" t="str">
        <x:v>Closed code, models and learner data</x:v>
      </x:c>
      <x:c r="Q19" s="3" t="str">
        <x:v>Descriptive / adoption only</x:v>
      </x:c>
      <x:c r="R19" s="3" t="str">
        <x:v>Nationwide registration/reach is credible but newer AI functions lack independent causal evaluation.</x:v>
      </x:c>
      <x:c r="S19" s="3" t="str">
        <x:v>Ministry/university partnership</x:v>
      </x:c>
      <x:c r="T19" s="3" t="str">
        <x:v>Free national English-learning access</x:v>
      </x:c>
      <x:c r="U19" s="3" t="str">
        <x:v>Child speech/writing analytics need closer assessment</x:v>
      </x:c>
      <x:c r="V19" s="3" t="str">
        <x:v>Registered users are not active use or impact.</x:v>
      </x:c>
      <x:c r="W19" s="3" t="str">
        <x:v>Scaled language-AI deployment</x:v>
      </x:c>
      <x:c r="X19" s="3" t="str">
        <x:v>High on existence; lower on effects</x:v>
      </x:c>
      <x:c r="Y19" s="3" t="str">
        <x:v>https://www.k12ea.gov.tw/En/News/NewsDetail?filter=7821A902-03A9-43A3-AE37-3E172B0A2A92&amp;id=e812d506-bfe4-4dd9-89ff-88cb408a28a1</x:v>
      </x:c>
      <x:c r="Z19" s="3" t="str">
        <x:v>https://www.coolenglish.edu.tw/event/aboutus/index.php?lang=en</x:v>
      </x:c>
      <x:c r="AA19" s="9" t="n">
        <x:v>46268</x:v>
      </x:c>
      <x:c r="AB19" s="3" t="str">
        <x:v>No / unclear</x:v>
      </x:c>
      <x:c r="AC19" s="9" t="n">
        <x:v>46268</x:v>
      </x:c>
      <x:c r="AD19" s="3" t="str"/>
      <x:c r="AE19" s="11" t="n">
        <x:f>COUNTIF('Sources'!$A$6:$A$196,A19)</x:f>
        <x:v>2</x:v>
      </x:c>
    </x:row>
    <x:row r="20" ht="51" customHeight="1">
      <x:c r="A20" s="3" t="str">
        <x:v>P015</x:v>
      </x:c>
      <x:c r="B20" s="3" t="str">
        <x:v>Rori AI Math Tutor</x:v>
      </x:c>
      <x:c r="C20" s="3" t="str">
        <x:v>AI × education</x:v>
      </x:c>
      <x:c r="D20" s="3" t="str">
        <x:v>Conversational tutoring</x:v>
      </x:c>
      <x:c r="E20" s="3" t="str">
        <x:v>Rising Academies</x:v>
      </x:c>
      <x:c r="F20" s="3" t="str">
        <x:v>Africa</x:v>
      </x:c>
      <x:c r="G20" s="3" t="str">
        <x:v>Ghana with expansion across African countries</x:v>
      </x:c>
      <x:c r="H20" s="3" t="str">
        <x:v>Active; evaluated and scaling</x:v>
      </x:c>
      <x:c r="I20" s="3" t="str">
        <x:v>Upper-primary and junior-secondary learners</x:v>
      </x:c>
      <x:c r="J20" s="3" t="str">
        <x:v>Personalised mathematics tutoring through WhatsApp, including metacognitive feedback</x:v>
      </x:c>
      <x:c r="K20" s="3" t="str">
        <x:v>Aligned to Global Proficiency Framework; no open interface found</x:v>
      </x:c>
      <x:c r="L20" s="3" t="str">
        <x:v>No</x:v>
      </x:c>
      <x:c r="M20" s="3" t="str">
        <x:v>No / unclear</x:v>
      </x:c>
      <x:c r="N20" s="3" t="str">
        <x:v>No / unclear</x:v>
      </x:c>
      <x:c r="O20" s="3" t="str">
        <x:v>Free to learners / programme funded</x:v>
      </x:c>
      <x:c r="P20" s="3" t="str">
        <x:v>Proprietary; WhatsApp and model dependencies</x:v>
      </x:c>
      <x:c r="Q20" s="3" t="str">
        <x:v>Causal learner outcomes</x:v>
      </x:c>
      <x:c r="R20" s="3" t="str">
        <x:v>School-level experiment across 11 Ghanaian schools reported roughly +0.36–0.37 SD after eight months.</x:v>
      </x:c>
      <x:c r="S20" s="3" t="str">
        <x:v>Implementer plus research partners; some project-affiliated authors</x:v>
      </x:c>
      <x:c r="T20" s="3" t="str">
        <x:v>Low-bandwidth, low-cost design for underserved learners</x:v>
      </x:c>
      <x:c r="U20" s="3" t="str">
        <x:v>Minor dialogue data and WhatsApp/Meta dependency need explicit diligence</x:v>
      </x:c>
      <x:c r="V20" s="3" t="str">
        <x:v>Promising single-context evidence; generalisability and independence are limited.</x:v>
      </x:c>
      <x:c r="W20" s="3" t="str">
        <x:v>Strong-evidence boundary case</x:v>
      </x:c>
      <x:c r="X20" s="3" t="str">
        <x:v>High on study; medium on generalisability</x:v>
      </x:c>
      <x:c r="Y20" s="3" t="str">
        <x:v>https://arxiv.org/abs/2402.09809</x:v>
      </x:c>
      <x:c r="Z20" s="3" t="str">
        <x:v>https://rori.ai/</x:v>
      </x:c>
      <x:c r="AA20" s="9" t="n">
        <x:v>46268</x:v>
      </x:c>
      <x:c r="AB20" s="3" t="str">
        <x:v>No / unclear</x:v>
      </x:c>
      <x:c r="AC20" s="9" t="n">
        <x:v>46268</x:v>
      </x:c>
      <x:c r="AD20" s="3" t="str"/>
      <x:c r="AE20" s="11" t="n">
        <x:f>COUNTIF('Sources'!$A$6:$A$196,A20)</x:f>
        <x:v>2</x:v>
      </x:c>
    </x:row>
    <x:row r="21" ht="51" customHeight="1">
      <x:c r="A21" s="3" t="str">
        <x:v>P016</x:v>
      </x:c>
      <x:c r="B21" s="3" t="str">
        <x:v>EduAI Hub — Innovation Research Network for AI for Education</x:v>
      </x:c>
      <x:c r="C21" s="3" t="str">
        <x:v>AI × education</x:v>
      </x:c>
      <x:c r="D21" s="3" t="str">
        <x:v>Regional research portfolio</x:v>
      </x:c>
      <x:c r="E21" s="3" t="str">
        <x:v>Data Science Nigeria / Nigeria AI Research Lab and Université d’Abomey-Calavi</x:v>
      </x:c>
      <x:c r="F21" s="3" t="str">
        <x:v>Africa</x:v>
      </x:c>
      <x:c r="G21" s="3" t="str">
        <x:v>Nigeria, Benin and wider sub-Saharan focus</x:v>
      </x:c>
      <x:c r="H21" s="3" t="str">
        <x:v>Portfolio established; current continuation unclear</x:v>
      </x:c>
      <x:c r="I21" s="3" t="str">
        <x:v>Learners, teachers and institutions across multiple subprojects</x:v>
      </x:c>
      <x:c r="J21" s="3" t="str">
        <x:v>Local-language tutoring, MT/TTS, accessibility, resource allocation and rural e-tutorial prototypes</x:v>
      </x:c>
      <x:c r="K21" s="3" t="str">
        <x:v>None identified</x:v>
      </x:c>
      <x:c r="L21" s="3" t="str">
        <x:v>No</x:v>
      </x:c>
      <x:c r="M21" s="3" t="str">
        <x:v>No / unclear</x:v>
      </x:c>
      <x:c r="N21" s="3" t="str">
        <x:v>No consolidated release/licence inventory located</x:v>
      </x:c>
      <x:c r="O21" s="3" t="str">
        <x:v>Research pilots</x:v>
      </x:c>
      <x:c r="P21" s="3" t="str">
        <x:v>Not located</x:v>
      </x:c>
      <x:c r="Q21" s="3" t="str">
        <x:v>Technical / prototype evaluation</x:v>
      </x:c>
      <x:c r="R21" s="3" t="str">
        <x:v>Credible local-research portfolio, but evaluation and publication are uneven across subprojects.</x:v>
      </x:c>
      <x:c r="S21" s="3" t="str">
        <x:v>AI4D funding from IDRC/FCDO with African research leads</x:v>
      </x:c>
      <x:c r="T21" s="3" t="str">
        <x:v>Strong linguistic, disability, gender and rural-inclusion focus</x:v>
      </x:c>
      <x:c r="U21" s="3" t="str">
        <x:v>Varies across speech, learner and administrative applications</x:v>
      </x:c>
      <x:c r="V21" s="3" t="str">
        <x:v>Verify status, assets and outcomes project by project.</x:v>
      </x:c>
      <x:c r="W21" s="3" t="str">
        <x:v>High-value regional discovery lead</x:v>
      </x:c>
      <x:c r="X21" s="3" t="str">
        <x:v>High on existence; medium-low on current status/results</x:v>
      </x:c>
      <x:c r="Y21" s="3" t="str">
        <x:v>https://www.ai4d.ai/projects/innovation-research-network-for-ai-for-education-eduai-hub</x:v>
      </x:c>
      <x:c r="Z21" s="3" t="str">
        <x:v>https://idrc-crdi.ca/en/research-in-action/commitment-action-advancing-use-ai-education-africa</x:v>
      </x:c>
      <x:c r="AA21" s="9" t="n">
        <x:v>46268</x:v>
      </x:c>
      <x:c r="AB21" s="3" t="str">
        <x:v>No / unclear</x:v>
      </x:c>
      <x:c r="AC21" s="9" t="n">
        <x:v>46268</x:v>
      </x:c>
      <x:c r="AD21" s="3" t="str"/>
      <x:c r="AE21" s="11" t="n">
        <x:f>COUNTIF('Sources'!$A$6:$A$196,A21)</x:f>
        <x:v>2</x:v>
      </x:c>
    </x:row>
    <x:row r="22" ht="51" customHeight="1">
      <x:c r="A22" s="3" t="str">
        <x:v>P017</x:v>
      </x:c>
      <x:c r="B22" s="3" t="str">
        <x:v>STEPS — STEM Teacher and Student Education for Primary Schools</x:v>
      </x:c>
      <x:c r="C22" s="3" t="str">
        <x:v>AI × education × open</x:v>
      </x:c>
      <x:c r="D22" s="3" t="str">
        <x:v>AI-assisted OER localisation</x:v>
      </x:c>
      <x:c r="E22" s="3" t="str">
        <x:v>GPE KIX / IDRC multi-organisation consortium</x:v>
      </x:c>
      <x:c r="F22" s="3" t="str">
        <x:v>Africa</x:v>
      </x:c>
      <x:c r="G22" s="3" t="str">
        <x:v>Benin, Cameroon, Democratic Republic of the Congo</x:v>
      </x:c>
      <x:c r="H22" s="3" t="str">
        <x:v>Completed Dec 2023; some institutionalisation reported</x:v>
      </x:c>
      <x:c r="I22" s="3" t="str">
        <x:v>Primary teachers and pupils</x:v>
      </x:c>
      <x:c r="J22" s="3" t="str">
        <x:v>AI-assisted creation, translation and localisation of inclusive STEM curricula and teacher learning</x:v>
      </x:c>
      <x:c r="K22" s="3" t="str">
        <x:v>None identified</x:v>
      </x:c>
      <x:c r="L22" s="3" t="str">
        <x:v>No</x:v>
      </x:c>
      <x:c r="M22" s="3" t="str">
        <x:v>No / unclear</x:v>
      </x:c>
      <x:c r="N22" s="3" t="str">
        <x:v>Explicit OER model; verify item-level licences</x:v>
      </x:c>
      <x:c r="O22" s="3" t="str">
        <x:v>Public-development programme</x:v>
      </x:c>
      <x:c r="P22" s="3" t="str">
        <x:v>Not located</x:v>
      </x:c>
      <x:c r="Q22" s="3" t="str">
        <x:v>Structured implementation evaluation</x:v>
      </x:c>
      <x:c r="R22" s="3" t="str">
        <x:v>Reports 72 localised resources, 160 teachers and 6,000+ pupils; no causal learning evaluation located.</x:v>
      </x:c>
      <x:c r="S22" s="3" t="str">
        <x:v>Public-development funders and local implementers</x:v>
      </x:c>
      <x:c r="T22" s="3" t="str">
        <x:v>Equitable, inclusive, locally relevant STEM education</x:v>
      </x:c>
      <x:c r="U22" s="3" t="str">
        <x:v>Low personal-data exposure in content-production use</x:v>
      </x:c>
      <x:c r="V22" s="3" t="str">
        <x:v>Reach and sustainability claims are implementer-reported.</x:v>
      </x:c>
      <x:c r="W22" s="3" t="str">
        <x:v>Explicit AI–OER candidate</x:v>
      </x:c>
      <x:c r="X22" s="3" t="str">
        <x:v>High on existence; lower on effects</x:v>
      </x:c>
      <x:c r="Y22" s="3" t="str">
        <x:v>https://www.gpekix.org/project/science-technology-engineering-and-mathematics-stem-teacher-and-student-education-primary</x:v>
      </x:c>
      <x:c r="Z22" s="3" t="str">
        <x:v>https://www.gpekix.org/blog/leveraging-artificial-intelligence-and-open-educational-resources-equitable-stem-education</x:v>
      </x:c>
      <x:c r="AA22" s="9" t="n">
        <x:v>46268</x:v>
      </x:c>
      <x:c r="AB22" s="3" t="str">
        <x:v>No / unclear</x:v>
      </x:c>
      <x:c r="AC22" s="9" t="n">
        <x:v>46268</x:v>
      </x:c>
      <x:c r="AD22" s="3" t="str"/>
      <x:c r="AE22" s="11" t="n">
        <x:f>COUNTIF('Sources'!$A$6:$A$196,A22)</x:f>
        <x:v>2</x:v>
      </x:c>
    </x:row>
    <x:row r="23" ht="51" customHeight="1">
      <x:c r="A23" s="3" t="str">
        <x:v>P018</x:v>
      </x:c>
      <x:c r="B23" s="3" t="str">
        <x:v>EduIA Lab</x:v>
      </x:c>
      <x:c r="C23" s="3" t="str">
        <x:v>AI × education</x:v>
      </x:c>
      <x:c r="D23" s="3" t="str">
        <x:v>National/regional public innovation lab</x:v>
      </x:c>
      <x:c r="E23" s="3" t="str">
        <x:v>Ceibal and Presidency of Uruguay with IDB, World Bank and IDRC</x:v>
      </x:c>
      <x:c r="F23" s="3" t="str">
        <x:v>Latin America</x:v>
      </x:c>
      <x:c r="G23" s="3" t="str">
        <x:v>Uruguay with regional ambition</x:v>
      </x:c>
      <x:c r="H23" s="3" t="str">
        <x:v>Active; launched March 2025</x:v>
      </x:c>
      <x:c r="I23" s="3" t="str">
        <x:v>Teachers, learners, administrators and regional policymakers</x:v>
      </x:c>
      <x:c r="J23" s="3" t="str">
        <x:v>AI tools, evidence/capacity work and a generative content assistant in the CREA LMS</x:v>
      </x:c>
      <x:c r="K23" s="3" t="str">
        <x:v>None identified</x:v>
      </x:c>
      <x:c r="L23" s="3" t="str">
        <x:v>No</x:v>
      </x:c>
      <x:c r="M23" s="3" t="str">
        <x:v>No / unclear</x:v>
      </x:c>
      <x:c r="N23" s="3" t="str">
        <x:v>No / unclear</x:v>
      </x:c>
      <x:c r="O23" s="3" t="str">
        <x:v>Public platform integration</x:v>
      </x:c>
      <x:c r="P23" s="3" t="str">
        <x:v>No open code/data/interface commitment located</x:v>
      </x:c>
      <x:c r="Q23" s="3" t="str">
        <x:v>Descriptive / adoption only</x:v>
      </x:c>
      <x:c r="R23" s="3" t="str">
        <x:v>Early deployments and teacher surveys; outcome evidence is still emerging.</x:v>
      </x:c>
      <x:c r="S23" s="3" t="str">
        <x:v>Strong public institution plus multilateral partners</x:v>
      </x:c>
      <x:c r="T23" s="3" t="str">
        <x:v>National capacity and regional-public-good ambition</x:v>
      </x:c>
      <x:c r="U23" s="3" t="str">
        <x:v>National learner/teacher data, model procurement and evaluation protocols need scrutiny</x:v>
      </x:c>
      <x:c r="V23" s="3" t="str">
        <x:v>An innovation portfolio rather than a single evaluated product.</x:v>
      </x:c>
      <x:c r="W23" s="3" t="str">
        <x:v>High-priority Latin American hub</x:v>
      </x:c>
      <x:c r="X23" s="3" t="str">
        <x:v>High on existence; lower on effects</x:v>
      </x:c>
      <x:c r="Y23" s="3" t="str">
        <x:v>https://www.gub.uy/presidencia/comunicacion/noticias/ceibal-presento-eduia-lab-primer-laboratorio-regional-inteligencia-artificial</x:v>
      </x:c>
      <x:c r="Z23" s="3" t="str">
        <x:v>https://ceibal.edu.uy/institucional/eduia/proyectos/</x:v>
      </x:c>
      <x:c r="AA23" s="9" t="n">
        <x:v>46268</x:v>
      </x:c>
      <x:c r="AB23" s="3" t="str">
        <x:v>No / unclear</x:v>
      </x:c>
      <x:c r="AC23" s="9" t="n">
        <x:v>46268</x:v>
      </x:c>
      <x:c r="AD23" s="3" t="str"/>
      <x:c r="AE23" s="11" t="n">
        <x:f>COUNTIF('Sources'!$A$6:$A$196,A23)</x:f>
        <x:v>2</x:v>
      </x:c>
    </x:row>
    <x:row r="24" ht="51" customHeight="1">
      <x:c r="A24" s="3" t="str">
        <x:v>P019</x:v>
      </x:c>
      <x:c r="B24" s="3" t="str">
        <x:v>Letrus Writing Skills Program</x:v>
      </x:c>
      <x:c r="C24" s="3" t="str">
        <x:v>AI × education</x:v>
      </x:c>
      <x:c r="D24" s="3" t="str">
        <x:v>Automated writing feedback</x:v>
      </x:c>
      <x:c r="E24" s="3" t="str">
        <x:v>Letrus with Brazilian state education systems</x:v>
      </x:c>
      <x:c r="F24" s="3" t="str">
        <x:v>Latin America</x:v>
      </x:c>
      <x:c r="G24" s="3" t="str">
        <x:v>Brazil</x:v>
      </x:c>
      <x:c r="H24" s="3" t="str">
        <x:v>Evaluated public-school deployment; commercially scaled</x:v>
      </x:c>
      <x:c r="I24" s="3" t="str">
        <x:v>Secondary learners and teachers</x:v>
      </x:c>
      <x:c r="J24" s="3" t="str">
        <x:v>ENEM-style automated writing diagnostics and feedback, sometimes with human feedback</x:v>
      </x:c>
      <x:c r="K24" s="3" t="str">
        <x:v>None identified</x:v>
      </x:c>
      <x:c r="L24" s="3" t="str">
        <x:v>No</x:v>
      </x:c>
      <x:c r="M24" s="3" t="str">
        <x:v>No / unclear</x:v>
      </x:c>
      <x:c r="N24" s="3" t="str">
        <x:v>No / unclear</x:v>
      </x:c>
      <x:c r="O24" s="3" t="str">
        <x:v>Commercial / publicly funded deployments</x:v>
      </x:c>
      <x:c r="P24" s="3" t="str">
        <x:v>Proprietary</x:v>
      </x:c>
      <x:c r="Q24" s="3" t="str">
        <x:v>Causal learner outcomes</x:v>
      </x:c>
      <x:c r="R24" s="3" t="str">
        <x:v>RCT across 178 schools and roughly 12,000 pupils found writing/ENEM improvements; current scale claims are first-party.</x:v>
      </x:c>
      <x:c r="S24" s="3" t="str">
        <x:v>Commercial provider with public partners and external evaluation</x:v>
      </x:c>
      <x:c r="T24" s="3" t="str">
        <x:v>Public-school writing support at scale</x:v>
      </x:c>
      <x:c r="U24" s="3" t="str">
        <x:v>Essay data and algorithmic-scoring transparency require diligence</x:v>
      </x:c>
      <x:c r="V24" s="3" t="str">
        <x:v>Do not assume every current deployment matches the tested intervention.</x:v>
      </x:c>
      <x:c r="W24" s="3" t="str">
        <x:v>Strong-evidence commercial case</x:v>
      </x:c>
      <x:c r="X24" s="3" t="str">
        <x:v>High on trial; medium on current scale</x:v>
      </x:c>
      <x:c r="Y24" s="3" t="str">
        <x:v>https://www.povertyactionlab.org/case-study/artificial-intelligence-strengthen-high-school-students-writing-skills</x:v>
      </x:c>
      <x:c r="Z24" s="3" t="str">
        <x:v>https://www.unesco.org/en/articles/brazil-programme-awarded-unesco-prize-using-ai-improve-writing-skills</x:v>
      </x:c>
      <x:c r="AA24" s="9" t="n">
        <x:v>46268</x:v>
      </x:c>
      <x:c r="AB24" s="3" t="str">
        <x:v>No / unclear</x:v>
      </x:c>
      <x:c r="AC24" s="9" t="n">
        <x:v>46268</x:v>
      </x:c>
      <x:c r="AD24" s="3" t="str"/>
      <x:c r="AE24" s="11" t="n">
        <x:f>COUNTIF('Sources'!$A$6:$A$196,A24)</x:f>
        <x:v>2</x:v>
      </x:c>
    </x:row>
    <x:row r="25" ht="51" customHeight="1">
      <x:c r="A25" s="3" t="str">
        <x:v>P020</x:v>
      </x:c>
      <x:c r="B25" s="3" t="str">
        <x:v>Alef Platform</x:v>
      </x:c>
      <x:c r="C25" s="3" t="str">
        <x:v>AI × education</x:v>
      </x:c>
      <x:c r="D25" s="3" t="str">
        <x:v>National adaptive learning platform</x:v>
      </x:c>
      <x:c r="E25" s="3" t="str">
        <x:v>UAE Ministry of Education and Alef Education</x:v>
      </x:c>
      <x:c r="F25" s="3" t="str">
        <x:v>MENA</x:v>
      </x:c>
      <x:c r="G25" s="3" t="str">
        <x:v>United Arab Emirates; other markets</x:v>
      </x:c>
      <x:c r="H25" s="3" t="str">
        <x:v>Mature national public-private deployment</x:v>
      </x:c>
      <x:c r="I25" s="3" t="str">
        <x:v>Public-school pupils and teachers</x:v>
      </x:c>
      <x:c r="J25" s="3" t="str">
        <x:v>Adaptive assessment, pathways, remediation, content and teacher analytics</x:v>
      </x:c>
      <x:c r="K25" s="3" t="str">
        <x:v>None identified</x:v>
      </x:c>
      <x:c r="L25" s="3" t="str">
        <x:v>No</x:v>
      </x:c>
      <x:c r="M25" s="3" t="str">
        <x:v>No / unclear</x:v>
      </x:c>
      <x:c r="N25" s="3" t="str">
        <x:v>No / unclear</x:v>
      </x:c>
      <x:c r="O25" s="3" t="str">
        <x:v>Government procurement / commercial</x:v>
      </x:c>
      <x:c r="P25" s="3" t="str">
        <x:v>Proprietary</x:v>
      </x:c>
      <x:c r="Q25" s="3" t="str">
        <x:v>Descriptive / adoption only</x:v>
      </x:c>
      <x:c r="R25" s="3" t="str">
        <x:v>Strong national adoption signals; evidence is dominated by ministry/vendor reach and satisfaction claims.</x:v>
      </x:c>
      <x:c r="S25" s="3" t="str">
        <x:v>Ministry partnership with publicly traded vendor</x:v>
      </x:c>
      <x:c r="T25" s="3" t="str">
        <x:v>National access and personalisation goals</x:v>
      </x:c>
      <x:c r="U25" s="3" t="str">
        <x:v>Nationwide child-data, bias and vendor-lock-in questions need audit</x:v>
      </x:c>
      <x:c r="V25" s="3" t="str">
        <x:v>Mature deployment does not imply independently verified outcomes.</x:v>
      </x:c>
      <x:c r="W25" s="3" t="str">
        <x:v>Scaled public-private boundary case</x:v>
      </x:c>
      <x:c r="X25" s="3" t="str">
        <x:v>High on existence; lower on effects</x:v>
      </x:c>
      <x:c r="Y25" s="3" t="str">
        <x:v>https://moe.gov.ae/en/mediacenter/news/Pages/AlefPlatforminallUAEPublic.aspx</x:v>
      </x:c>
      <x:c r="Z25" s="3" t="str">
        <x:v>https://www.alefeducation.com/products/artificial-intelligence</x:v>
      </x:c>
      <x:c r="AA25" s="9" t="n">
        <x:v>46268</x:v>
      </x:c>
      <x:c r="AB25" s="3" t="str">
        <x:v>No / unclear</x:v>
      </x:c>
      <x:c r="AC25" s="9" t="n">
        <x:v>46268</x:v>
      </x:c>
      <x:c r="AD25" s="3" t="str"/>
      <x:c r="AE25" s="11" t="n">
        <x:f>COUNTIF('Sources'!$A$6:$A$196,A25)</x:f>
        <x:v>2</x:v>
      </x:c>
    </x:row>
    <x:row r="26" ht="51" customHeight="1">
      <x:c r="A26" s="3" t="str">
        <x:v>P021</x:v>
      </x:c>
      <x:c r="B26" s="3" t="str">
        <x:v>Siraj</x:v>
      </x:c>
      <x:c r="C26" s="3" t="str">
        <x:v>AI × education</x:v>
      </x:c>
      <x:c r="D26" s="3" t="str">
        <x:v>National textbook-grounded assistant</x:v>
      </x:c>
      <x:c r="E26" s="3" t="str">
        <x:v>Jordan Ministry of Education / National Council for Future Technology with Replit</x:v>
      </x:c>
      <x:c r="F26" s="3" t="str">
        <x:v>MENA</x:v>
      </x:c>
      <x:c r="G26" s="3" t="str">
        <x:v>Jordan</x:v>
      </x:c>
      <x:c r="H26" s="3" t="str">
        <x:v>Rapid national scale-up from Oct 2025</x:v>
      </x:c>
      <x:c r="I26" s="3" t="str">
        <x:v>Pupils and teachers across multiple school sectors</x:v>
      </x:c>
      <x:c r="J26" s="3" t="str">
        <x:v>Textbook-grounded Q&amp;A, explanation, study and review assistant</x:v>
      </x:c>
      <x:c r="K26" s="3" t="str">
        <x:v>None identified</x:v>
      </x:c>
      <x:c r="L26" s="3" t="str">
        <x:v>No</x:v>
      </x:c>
      <x:c r="M26" s="3" t="str">
        <x:v>No / unclear</x:v>
      </x:c>
      <x:c r="N26" s="3" t="str">
        <x:v>No / unclear</x:v>
      </x:c>
      <x:c r="O26" s="3" t="str">
        <x:v>National service</x:v>
      </x:c>
      <x:c r="P26" s="3" t="str">
        <x:v>Proprietary Replit-built platform</x:v>
      </x:c>
      <x:c r="Q26" s="3" t="str">
        <x:v>Descriptive / adoption only</x:v>
      </x:c>
      <x:c r="R26" s="3" t="str">
        <x:v>Government reports hundreds of thousands of accounts and teacher training; no learning-outcome evidence.</x:v>
      </x:c>
      <x:c r="S26" s="3" t="str">
        <x:v>National public programme with a single major vendor</x:v>
      </x:c>
      <x:c r="T26" s="3" t="str">
        <x:v>Broad access to curriculum-grounded support</x:v>
      </x:c>
      <x:c r="U26" s="3" t="str">
        <x:v>Accuracy, child privacy, security and provider dependency need independent audit</x:v>
      </x:c>
      <x:c r="V26" s="3" t="str">
        <x:v>Very rapid prototype-to-scale trajectory increases assurance risk.</x:v>
      </x:c>
      <x:c r="W26" s="3" t="str">
        <x:v>High-priority fast-scaling case</x:v>
      </x:c>
      <x:c r="X26" s="3" t="str">
        <x:v>High on existence; lower on effects</x:v>
      </x:c>
      <x:c r="Y26" s="3" t="str">
        <x:v>https://petra.gov.jo/en/news/266000-students%C2%A0joined-siraj-learning-platform-education-ministry%C2%A0</x:v>
      </x:c>
      <x:c r="Z26" s="3" t="str">
        <x:v>https://modee.gov.jo/En/NewsDetails/OpenAI_Includes_Jordan_in_the_%E2%80%9CEducation_for_Countries%E2%80%9D_Initiative</x:v>
      </x:c>
      <x:c r="AA26" s="9" t="n">
        <x:v>46268</x:v>
      </x:c>
      <x:c r="AB26" s="3" t="str">
        <x:v>No / unclear</x:v>
      </x:c>
      <x:c r="AC26" s="9" t="n">
        <x:v>46268</x:v>
      </x:c>
      <x:c r="AD26" s="3" t="str"/>
      <x:c r="AE26" s="11" t="n">
        <x:f>COUNTIF('Sources'!$A$6:$A$196,A26)</x:f>
        <x:v>2</x:v>
      </x:c>
    </x:row>
    <x:row r="27" ht="51" customHeight="1">
      <x:c r="A27" s="3" t="str">
        <x:v>P022</x:v>
      </x:c>
      <x:c r="B27" s="3" t="str">
        <x:v>Tutor CoPilot</x:v>
      </x:c>
      <x:c r="C27" s="3" t="str">
        <x:v>AI × education × open</x:v>
      </x:c>
      <x:c r="D27" s="3" t="str">
        <x:v>Human-tutor augmentation</x:v>
      </x:c>
      <x:c r="E27" s="3" t="str">
        <x:v>Stanford SCALE / EduNLP with tutoring partners</x:v>
      </x:c>
      <x:c r="F27" s="3" t="str">
        <x:v>North America</x:v>
      </x:c>
      <x:c r="G27" s="3" t="str">
        <x:v>United States</x:v>
      </x:c>
      <x:c r="H27" s="3" t="str">
        <x:v>Evaluated research intervention; demo code public</x:v>
      </x:c>
      <x:c r="I27" s="3" t="str">
        <x:v>K–12 mathematics tutors and historically underserved pupils</x:v>
      </x:c>
      <x:c r="J27" s="3" t="str">
        <x:v>Real-time LLM suggestions promoting guiding questions and expert-like tutoring strategies</x:v>
      </x:c>
      <x:c r="K27" s="3" t="str">
        <x:v>None identified</x:v>
      </x:c>
      <x:c r="L27" s="3" t="str">
        <x:v>No</x:v>
      </x:c>
      <x:c r="M27" s="3" t="str">
        <x:v>Partial / unresolved</x:v>
      </x:c>
      <x:c r="N27" s="3" t="str">
        <x:v>Demo repository public; production stack/data not fully open</x:v>
      </x:c>
      <x:c r="O27" s="3" t="str">
        <x:v>Research/partner deployment</x:v>
      </x:c>
      <x:c r="P27" s="3" t="str">
        <x:v>Apache-2.0 repository</x:v>
      </x:c>
      <x:c r="Q27" s="3" t="str">
        <x:v>Causal learner outcomes</x:v>
      </x:c>
      <x:c r="R27" s="3" t="str">
        <x:v>Preregistered field experiment with about 900 tutors/1,800 pupils: +4 percentage points mastery overall, +9 for lower-rated tutors.</x:v>
      </x:c>
      <x:c r="S27" s="3" t="str">
        <x:v>University-led research with vendor/district partners</x:v>
      </x:c>
      <x:c r="T27" s="3" t="str">
        <x:v>Targets tutoring quality and underserved learners</x:v>
      </x:c>
      <x:c r="U27" s="3" t="str">
        <x:v>Large volumes of student–tutor messages; production controls need review</x:v>
      </x:c>
      <x:c r="V27" s="3" t="str">
        <x:v>One vendor/district context and topic mastery, not long-run attainment.</x:v>
      </x:c>
      <x:c r="W27" s="3" t="str">
        <x:v>Strong explicit-intersection candidate</x:v>
      </x:c>
      <x:c r="X27" s="3" t="str">
        <x:v>High</x:v>
      </x:c>
      <x:c r="Y27" s="3" t="str">
        <x:v>https://edunlp.stanford.edu/projects/tutor-copilot</x:v>
      </x:c>
      <x:c r="Z27" s="3" t="str">
        <x:v>https://arxiv.org/abs/2410.03017</x:v>
      </x:c>
      <x:c r="AA27" s="9" t="n">
        <x:v>46268</x:v>
      </x:c>
      <x:c r="AB27" s="3" t="str">
        <x:v>Partial — tutorial/demo</x:v>
      </x:c>
      <x:c r="AC27" s="9" t="n">
        <x:v>46268</x:v>
      </x:c>
      <x:c r="AD27" s="3" t="str"/>
      <x:c r="AE27" s="11" t="n">
        <x:f>COUNTIF('Sources'!$A$6:$A$196,A27)</x:f>
        <x:v>2</x:v>
      </x:c>
    </x:row>
    <x:row r="28" ht="51" customHeight="1">
      <x:c r="A28" s="3" t="str">
        <x:v>P023</x:v>
      </x:c>
      <x:c r="B28" s="3" t="str">
        <x:v>NSF Institute for Student–AI Teaming (iSAT)</x:v>
      </x:c>
      <x:c r="C28" s="3" t="str">
        <x:v>AI × education × open</x:v>
      </x:c>
      <x:c r="D28" s="3" t="str">
        <x:v>National research institute</x:v>
      </x:c>
      <x:c r="E28" s="3" t="str">
        <x:v>University of Colorado Boulder-led NSF institute</x:v>
      </x:c>
      <x:c r="F28" s="3" t="str">
        <x:v>North America</x:v>
      </x:c>
      <x:c r="G28" s="3" t="str">
        <x:v>United States</x:v>
      </x:c>
      <x:c r="H28" s="3" t="str">
        <x:v>Active; founded 2020, second phase</x:v>
      </x:c>
      <x:c r="I28" s="3" t="str">
        <x:v>Middle-school learners, educators and researchers</x:v>
      </x:c>
      <x:c r="J28" s="3" t="str">
        <x:v>AI partners for collaborative problem-solving; curricula, algorithms and research</x:v>
      </x:c>
      <x:c r="K28" s="3" t="str">
        <x:v>None identified</x:v>
      </x:c>
      <x:c r="L28" s="3" t="str">
        <x:v>No</x:v>
      </x:c>
      <x:c r="M28" s="3" t="str">
        <x:v>Partial / unresolved</x:v>
      </x:c>
      <x:c r="N28" s="3" t="str">
        <x:v>Project says outputs are open-source; CC BY-NC also appears</x:v>
      </x:c>
      <x:c r="O28" s="3" t="str">
        <x:v>Research/testbed</x:v>
      </x:c>
      <x:c r="P28" s="3" t="str">
        <x:v>CC BY-NC is not an OSI software licence; component audit needed</x:v>
      </x:c>
      <x:c r="Q28" s="3" t="str">
        <x:v>Peer-reviewed / technical evaluation</x:v>
      </x:c>
      <x:c r="R28" s="3" t="str">
        <x:v>Extensive publications and reach claims; no clear causal learner-outcome result for the programme as a whole.</x:v>
      </x:c>
      <x:c r="S28" s="3" t="str">
        <x:v>Large multidisciplinary public-research institute with ethics/equity work</x:v>
      </x:c>
      <x:c r="T28" s="3" t="str">
        <x:v>Inclusive classroom teaming and public research</x:v>
      </x:c>
      <x:c r="U28" s="3" t="str">
        <x:v>Classroom discourse/multimodal sensing raises consent, surveillance and retention risks</x:v>
      </x:c>
      <x:c r="V28" s="3" t="str">
        <x:v>Licensing language is internally inconsistent.</x:v>
      </x:c>
      <x:c r="W28" s="3" t="str">
        <x:v>Major research ecosystem</x:v>
      </x:c>
      <x:c r="X28" s="3" t="str">
        <x:v>High on existence; lower on effects</x:v>
      </x:c>
      <x:c r="Y28" s="3" t="str">
        <x:v>https://www.colorado.edu/research/ai-institute/our-products</x:v>
      </x:c>
      <x:c r="Z28" s="3" t="str">
        <x:v>https://www.colorado.edu/research/ai-institute/our-publications</x:v>
      </x:c>
      <x:c r="AA28" s="9" t="n">
        <x:v>46268</x:v>
      </x:c>
      <x:c r="AB28" s="3" t="str">
        <x:v>Partial / claimed</x:v>
      </x:c>
      <x:c r="AC28" s="9" t="n">
        <x:v>46268</x:v>
      </x:c>
      <x:c r="AD28" s="3" t="str"/>
      <x:c r="AE28" s="11" t="n">
        <x:f>COUNTIF('Sources'!$A$6:$A$196,A28)</x:f>
        <x:v>2</x:v>
      </x:c>
    </x:row>
    <x:row r="29" ht="51" customHeight="1">
      <x:c r="A29" s="3" t="str">
        <x:v>P024</x:v>
      </x:c>
      <x:c r="B29" s="3" t="str">
        <x:v>EdChat</x:v>
      </x:c>
      <x:c r="C29" s="3" t="str">
        <x:v>AI × education</x:v>
      </x:c>
      <x:c r="D29" s="3" t="str">
        <x:v>Government generative-AI service</x:v>
      </x:c>
      <x:c r="E29" s="3" t="str">
        <x:v>South Australia Department for Education with Microsoft</x:v>
      </x:c>
      <x:c r="F29" s="3" t="str">
        <x:v>Oceania</x:v>
      </x:c>
      <x:c r="G29" s="3" t="str">
        <x:v>South Australia</x:v>
      </x:c>
      <x:c r="H29" s="3" t="str">
        <x:v>Pilot 2023; statewide secondary rollout from 2025</x:v>
      </x:c>
      <x:c r="I29" s="3" t="str">
        <x:v>Public-secondary pupils and educators</x:v>
      </x:c>
      <x:c r="J29" s="3" t="str">
        <x:v>Secure chatbot for explanations, ideation, research and staff planning</x:v>
      </x:c>
      <x:c r="K29" s="3" t="str">
        <x:v>None identified</x:v>
      </x:c>
      <x:c r="L29" s="3" t="str">
        <x:v>No</x:v>
      </x:c>
      <x:c r="M29" s="3" t="str">
        <x:v>No / unclear</x:v>
      </x:c>
      <x:c r="N29" s="3" t="str">
        <x:v>No / unclear</x:v>
      </x:c>
      <x:c r="O29" s="3" t="str">
        <x:v>Public-school service</x:v>
      </x:c>
      <x:c r="P29" s="3" t="str">
        <x:v>Closed Azure/OpenAI-based service</x:v>
      </x:c>
      <x:c r="Q29" s="3" t="str">
        <x:v>Structured implementation evaluation</x:v>
      </x:c>
      <x:c r="R29" s="3" t="str">
        <x:v>Pilot evaluation focused on use, safety and experience; no randomised learning evidence located.</x:v>
      </x:c>
      <x:c r="S29" s="3" t="str">
        <x:v>Department-owned service with local hosting and safety filters</x:v>
      </x:c>
      <x:c r="T29" s="3" t="str">
        <x:v>Universal safe access and teacher support</x:v>
      </x:c>
      <x:c r="U29" s="3" t="str">
        <x:v>Data stated to remain in Australia and not train public ChatGPT</x:v>
      </x:c>
      <x:c r="V29" s="3" t="str">
        <x:v>Pilot phase figures differ; vendor is also a principal case-study source.</x:v>
      </x:c>
      <x:c r="W29" s="3" t="str">
        <x:v>Scaled government deployment</x:v>
      </x:c>
      <x:c r="X29" s="3" t="str">
        <x:v>High on existence; lower on effects</x:v>
      </x:c>
      <x:c r="Y29" s="3" t="str">
        <x:v>https://www.education.sa.gov.au/parents-and-families/curriculum-and-learning/ai/edchat</x:v>
      </x:c>
      <x:c r="Z29" s="3" t="str">
        <x:v>https://www.microsoft.com/en/customers/story/1751701319789621671-south-australia-department-of-education-azure-ai-content-safety-higher-education-en-australia</x:v>
      </x:c>
      <x:c r="AA29" s="9" t="n">
        <x:v>46268</x:v>
      </x:c>
      <x:c r="AB29" s="3" t="str">
        <x:v>No / unclear</x:v>
      </x:c>
      <x:c r="AC29" s="9" t="n">
        <x:v>46268</x:v>
      </x:c>
      <x:c r="AD29" s="3" t="str"/>
      <x:c r="AE29" s="11" t="n">
        <x:f>COUNTIF('Sources'!$A$6:$A$196,A29)</x:f>
        <x:v>2</x:v>
      </x:c>
    </x:row>
    <x:row r="30" ht="38" customHeight="1">
      <x:c r="A30" s="3" t="str">
        <x:v>P025</x:v>
      </x:c>
      <x:c r="B30" s="3" t="str">
        <x:v>NSWEduChat</x:v>
      </x:c>
      <x:c r="C30" s="3" t="str">
        <x:v>AI × education</x:v>
      </x:c>
      <x:c r="D30" s="3" t="str">
        <x:v>Government generative-AI service</x:v>
      </x:c>
      <x:c r="E30" s="3" t="str">
        <x:v>New South Wales Department of Education</x:v>
      </x:c>
      <x:c r="F30" s="3" t="str">
        <x:v>Oceania</x:v>
      </x:c>
      <x:c r="G30" s="3" t="str">
        <x:v>New South Wales, Australia</x:v>
      </x:c>
      <x:c r="H30" s="3" t="str">
        <x:v>Piloted 2024; statewide Years 5–12 access from late 2025</x:v>
      </x:c>
      <x:c r="I30" s="3" t="str">
        <x:v>Public-school pupils, teachers and staff</x:v>
      </x:c>
      <x:c r="J30" s="3" t="str">
        <x:v>Reasoning-oriented study assistant, feedback, resource design and administration support</x:v>
      </x:c>
      <x:c r="K30" s="3" t="str">
        <x:v>None identified</x:v>
      </x:c>
      <x:c r="L30" s="3" t="str">
        <x:v>No</x:v>
      </x:c>
      <x:c r="M30" s="3" t="str">
        <x:v>No / unclear</x:v>
      </x:c>
      <x:c r="N30" s="3" t="str">
        <x:v>No / unclear</x:v>
      </x:c>
      <x:c r="O30" s="3" t="str">
        <x:v>Public-school service</x:v>
      </x:c>
      <x:c r="P30" s="3" t="str">
        <x:v>Closed departmental service</x:v>
      </x:c>
      <x:c r="Q30" s="3" t="str">
        <x:v>Structured implementation evaluation</x:v>
      </x:c>
      <x:c r="R30" s="3" t="str">
        <x:v>Public evidence is implementation learning and user feedback, not measured attainment.</x:v>
      </x:c>
      <x:c r="S30" s="3" t="str">
        <x:v>Department-owned; AI Assessment Framework, ethics/cyber review and Chief AI Office</x:v>
      </x:c>
      <x:c r="T30" s="3" t="str">
        <x:v>Equity and safe universal access are explicit</x:v>
      </x:c>
      <x:c r="U30" s="3" t="str">
        <x:v>Sydney-hosted; inputs reportedly not shared or used to train the model</x:v>
      </x:c>
      <x:c r="V30" s="3" t="str">
        <x:v>Independent evaluation, model details and red-team evidence remain sparse.</x:v>
      </x:c>
      <x:c r="W30" s="3" t="str">
        <x:v>Scaled government deployment</x:v>
      </x:c>
      <x:c r="X30" s="3" t="str">
        <x:v>High on existence; lower on effects</x:v>
      </x:c>
      <x:c r="Y30" s="3" t="str">
        <x:v>https://education.nsw.gov.au/teaching-and-learning/education-for-a-changing-world/nsweduchat</x:v>
      </x:c>
      <x:c r="Z30" s="3" t="str">
        <x:v>https://www.digital.nsw.gov.au/strategy/case-studies/nsweduchat</x:v>
      </x:c>
      <x:c r="AA30" s="9" t="n">
        <x:v>46268</x:v>
      </x:c>
      <x:c r="AB30" s="3" t="str">
        <x:v>No / unclear</x:v>
      </x:c>
      <x:c r="AC30" s="9" t="n">
        <x:v>46268</x:v>
      </x:c>
      <x:c r="AD30" s="3" t="str"/>
      <x:c r="AE30" s="11" t="n">
        <x:f>COUNTIF('Sources'!$A$6:$A$196,A30)</x:f>
        <x:v>2</x:v>
      </x:c>
    </x:row>
    <x:row r="31" ht="51" customHeight="1">
      <x:c r="A31" s="3" t="str">
        <x:v>P026</x:v>
      </x:c>
      <x:c r="B31" s="3" t="str">
        <x:v>EU–OECD AI Literacy Framework</x:v>
      </x:c>
      <x:c r="C31" s="3" t="str">
        <x:v>AI × education</x:v>
      </x:c>
      <x:c r="D31" s="3" t="str">
        <x:v>Competency framework</x:v>
      </x:c>
      <x:c r="E31" s="3" t="str">
        <x:v>European Commission and OECD</x:v>
      </x:c>
      <x:c r="F31" s="3" t="str">
        <x:v>Europe</x:v>
      </x:c>
      <x:c r="G31" s="3" t="str">
        <x:v>Europe with global reference value</x:v>
      </x:c>
      <x:c r="H31" s="3" t="str">
        <x:v>Final framework released June 2026; linked to PISA 2029</x:v>
      </x:c>
      <x:c r="I31" s="3" t="str">
        <x:v>Primary/secondary learners, teachers and curriculum designers</x:v>
      </x:c>
      <x:c r="J31" s="3" t="str">
        <x:v>Competencies across engaging with, creating with, managing and designing AI</x:v>
      </x:c>
      <x:c r="K31" s="3" t="str">
        <x:v>Curriculum framework; no machine-readable standard/API found</x:v>
      </x:c>
      <x:c r="L31" s="3" t="str">
        <x:v>Public framework</x:v>
      </x:c>
      <x:c r="M31" s="3" t="str">
        <x:v>N/A</x:v>
      </x:c>
      <x:c r="N31" s="3" t="str">
        <x:v>Open-access materials</x:v>
      </x:c>
      <x:c r="O31" s="3" t="str">
        <x:v>Free public access</x:v>
      </x:c>
      <x:c r="P31" s="3" t="str">
        <x:v>Publication terms; not a technical open standard</x:v>
      </x:c>
      <x:c r="Q31" s="3" t="str">
        <x:v>Normative / framework</x:v>
      </x:c>
      <x:c r="R31" s="3" t="str">
        <x:v>Expert and consultation-based framework; implementation and learning evidence still to come.</x:v>
      </x:c>
      <x:c r="S31" s="3" t="str">
        <x:v>European Commission–OECD collaboration</x:v>
      </x:c>
      <x:c r="T31" s="3" t="str">
        <x:v>Shared literacy baseline and responsible participation</x:v>
      </x:c>
      <x:c r="U31" s="3" t="str">
        <x:v>Addresses responsible use rather than operational data controls</x:v>
      </x:c>
      <x:c r="V31" s="3" t="str">
        <x:v>Do not classify as interoperable solely because it is publicly accessible.</x:v>
      </x:c>
      <x:c r="W31" s="3" t="str">
        <x:v>Foundational emerging reference</x:v>
      </x:c>
      <x:c r="X31" s="3" t="str">
        <x:v>High on existence; lower on effects</x:v>
      </x:c>
      <x:c r="Y31" s="3" t="str">
        <x:v>https://education.ec.europa.eu/node/3537</x:v>
      </x:c>
      <x:c r="Z31" s="3" t="str">
        <x:v>https://www.oecd.org/en/about/projects/pisa-2029-media-and-artificial-intelligence-literacy.html</x:v>
      </x:c>
      <x:c r="AA31" s="9" t="n">
        <x:v>46268</x:v>
      </x:c>
      <x:c r="AB31" s="3" t="str">
        <x:v>N/A</x:v>
      </x:c>
      <x:c r="AC31" s="9" t="n">
        <x:v>46268</x:v>
      </x:c>
      <x:c r="AD31" s="3" t="str"/>
      <x:c r="AE31" s="11" t="n">
        <x:f>COUNTIF('Sources'!$A$6:$A$196,A31)</x:f>
        <x:v>2</x:v>
      </x:c>
    </x:row>
    <x:row r="32" ht="38" customHeight="1">
      <x:c r="A32" s="3" t="str">
        <x:v>P027</x:v>
      </x:c>
      <x:c r="B32" s="3" t="str">
        <x:v>AI4K12 — Five Big Ideas in AI</x:v>
      </x:c>
      <x:c r="C32" s="3" t="str">
        <x:v>AI × education</x:v>
      </x:c>
      <x:c r="D32" s="3" t="str">
        <x:v>AI literacy framework</x:v>
      </x:c>
      <x:c r="E32" s="3" t="str">
        <x:v>AI4K12 initiative; AAAI/CSTA/NSF-linked community</x:v>
      </x:c>
      <x:c r="F32" s="3" t="str">
        <x:v>North America</x:v>
      </x:c>
      <x:c r="G32" s="3" t="str">
        <x:v>United States with international influence</x:v>
      </x:c>
      <x:c r="H32" s="3" t="str">
        <x:v>Active framework/resource initiative</x:v>
      </x:c>
      <x:c r="I32" s="3" t="str">
        <x:v>K–12 standards writers, curriculum designers and teachers</x:v>
      </x:c>
      <x:c r="J32" s="3" t="str">
        <x:v>Five Big Ideas, grade-band progression guidance and teaching resources</x:v>
      </x:c>
      <x:c r="K32" s="3" t="str">
        <x:v>Framework for standards work; no formal machine-readable education standard</x:v>
      </x:c>
      <x:c r="L32" s="3" t="str">
        <x:v>Publicly inspectable</x:v>
      </x:c>
      <x:c r="M32" s="3" t="str">
        <x:v>N/A</x:v>
      </x:c>
      <x:c r="N32" s="3" t="str">
        <x:v>Resources public; licence needs item-level check</x:v>
      </x:c>
      <x:c r="O32" s="3" t="str">
        <x:v>Free public access</x:v>
      </x:c>
      <x:c r="P32" s="3" t="str">
        <x:v>Not located</x:v>
      </x:c>
      <x:c r="Q32" s="3" t="str">
        <x:v>Normative / framework</x:v>
      </x:c>
      <x:c r="R32" s="3" t="str">
        <x:v>Influential expert framework; no programme-level causal evidence expected.</x:v>
      </x:c>
      <x:c r="S32" s="3" t="str">
        <x:v>Academic/professional community with NSF-era support</x:v>
      </x:c>
      <x:c r="T32" s="3" t="str">
        <x:v>Broad AI literacy and curriculum coherence</x:v>
      </x:c>
      <x:c r="U32" s="3" t="str">
        <x:v>Not an operational learner-data system</x:v>
      </x:c>
      <x:c r="V32" s="3" t="str">
        <x:v>Framework maturity and resource licences vary by component.</x:v>
      </x:c>
      <x:c r="W32" s="3" t="str">
        <x:v>Curriculum reference</x:v>
      </x:c>
      <x:c r="X32" s="3" t="str">
        <x:v>High on existence; lower on effects</x:v>
      </x:c>
      <x:c r="Y32" s="3" t="str">
        <x:v>https://ai4k12.org/</x:v>
      </x:c>
      <x:c r="Z32" s="3"/>
      <x:c r="AA32" s="9" t="n">
        <x:v>46268</x:v>
      </x:c>
      <x:c r="AB32" s="3" t="str">
        <x:v>N/A</x:v>
      </x:c>
      <x:c r="AC32" s="9" t="n">
        <x:v>46268</x:v>
      </x:c>
      <x:c r="AD32" s="3" t="str"/>
      <x:c r="AE32" s="11" t="n">
        <x:f>COUNTIF('Sources'!$A$6:$A$196,A32)</x:f>
        <x:v>1</x:v>
      </x:c>
    </x:row>
    <x:row r="33" ht="51" customHeight="1">
      <x:c r="A33" s="3" t="str">
        <x:v>P028</x:v>
      </x:c>
      <x:c r="B33" s="3" t="str">
        <x:v>Naija Teacher AI</x:v>
      </x:c>
      <x:c r="C33" s="3" t="str">
        <x:v>AI × education</x:v>
      </x:c>
      <x:c r="D33" s="3" t="str">
        <x:v>Teacher capacity and tools</x:v>
      </x:c>
      <x:c r="E33" s="3" t="str">
        <x:v>Nigeria education stakeholders / GMind; profiled by UNESCO SDG4 Knowledge Hub</x:v>
      </x:c>
      <x:c r="F33" s="3" t="str">
        <x:v>Africa</x:v>
      </x:c>
      <x:c r="G33" s="3" t="str">
        <x:v>Nigeria</x:v>
      </x:c>
      <x:c r="H33" s="3" t="str">
        <x:v>Pilot/scale claims for 2025–26</x:v>
      </x:c>
      <x:c r="I33" s="3" t="str">
        <x:v>Teachers, master trainers and indirectly learners</x:v>
      </x:c>
      <x:c r="J33" s="3" t="str">
        <x:v>Offline-first teacher learning, lesson planning, differentiated assessment and feedback tools</x:v>
      </x:c>
      <x:c r="K33" s="3" t="str">
        <x:v>None identified</x:v>
      </x:c>
      <x:c r="L33" s="3" t="str">
        <x:v>No</x:v>
      </x:c>
      <x:c r="M33" s="3" t="str">
        <x:v>No / unclear</x:v>
      </x:c>
      <x:c r="N33" s="3" t="str">
        <x:v>No / unclear</x:v>
      </x:c>
      <x:c r="O33" s="3" t="str">
        <x:v>Sponsored national-scale model</x:v>
      </x:c>
      <x:c r="P33" s="3" t="str">
        <x:v>Platform ownership/licensing unclear</x:v>
      </x:c>
      <x:c r="Q33" s="3" t="str">
        <x:v>Descriptive / self-reported</x:v>
      </x:c>
      <x:c r="R33" s="3" t="str">
        <x:v>Project page reports 50,000 teachers in pilot and much larger planned 2026 scale; independent verification not located.</x:v>
      </x:c>
      <x:c r="S33" s="3" t="str">
        <x:v>Presented in UNESCO knowledge hub; underlying delivery/governance needs confirmation</x:v>
      </x:c>
      <x:c r="T33" s="3" t="str">
        <x:v>Offline-first rural reach and teacher capacity</x:v>
      </x:c>
      <x:c r="U33" s="3" t="str">
        <x:v>Teacher and possible learner data handling not detailed</x:v>
      </x:c>
      <x:c r="V33" s="3" t="str">
        <x:v>Treat reported reach, daily engagement and cost as implementer claims.</x:v>
      </x:c>
      <x:c r="W33" s="3" t="str">
        <x:v>Promising but verification-heavy</x:v>
      </x:c>
      <x:c r="X33" s="3" t="str">
        <x:v>Medium</x:v>
      </x:c>
      <x:c r="Y33" s="3" t="str">
        <x:v>https://www.unesco.org/sdg4education2030/en/knowledge-hub/naija-teacher-ai-ai-powered-system-transforming-teacher-capacity-scale</x:v>
      </x:c>
      <x:c r="Z33" s="3"/>
      <x:c r="AA33" s="9" t="n">
        <x:v>46268</x:v>
      </x:c>
      <x:c r="AB33" s="3" t="str">
        <x:v>No / unclear</x:v>
      </x:c>
      <x:c r="AC33" s="9" t="n">
        <x:v>46268</x:v>
      </x:c>
      <x:c r="AD33" s="3" t="str"/>
      <x:c r="AE33" s="11" t="n">
        <x:f>COUNTIF('Sources'!$A$6:$A$196,A33)</x:f>
        <x:v>1</x:v>
      </x:c>
    </x:row>
    <x:row r="34" ht="51" customHeight="1">
      <x:c r="A34" s="3" t="str">
        <x:v>P029</x:v>
      </x:c>
      <x:c r="B34" s="3" t="str">
        <x:v>China national AI education action / smart education platform</x:v>
      </x:c>
      <x:c r="C34" s="3" t="str">
        <x:v>AI × education</x:v>
      </x:c>
      <x:c r="D34" s="3" t="str">
        <x:v>National policy and platform programme</x:v>
      </x:c>
      <x:c r="E34" s="3" t="str">
        <x:v>Ministry of Education, People’s Republic of China</x:v>
      </x:c>
      <x:c r="F34" s="3" t="str">
        <x:v>Asia</x:v>
      </x:c>
      <x:c r="G34" s="3" t="str">
        <x:v>China</x:v>
      </x:c>
      <x:c r="H34" s="3" t="str">
        <x:v>Rapid national implementation from 2024–26</x:v>
      </x:c>
      <x:c r="I34" s="3" t="str">
        <x:v>Schools, teachers, learners and lifelong learners</x:v>
      </x:c>
      <x:c r="J34" s="3" t="str">
        <x:v>AI literacy pathways, AI-assisted homework/grading/Q&amp;A/tutoring and national platform resources</x:v>
      </x:c>
      <x:c r="K34" s="3" t="str">
        <x:v>None identified</x:v>
      </x:c>
      <x:c r="L34" s="3" t="str">
        <x:v>No</x:v>
      </x:c>
      <x:c r="M34" s="3" t="str">
        <x:v>No / unclear</x:v>
      </x:c>
      <x:c r="N34" s="3" t="str">
        <x:v>No / unclear</x:v>
      </x:c>
      <x:c r="O34" s="3" t="str">
        <x:v>National public systems</x:v>
      </x:c>
      <x:c r="P34" s="3" t="str">
        <x:v>Platforms, models and data are not openly licensed</x:v>
      </x:c>
      <x:c r="Q34" s="3" t="str">
        <x:v>Descriptive / adoption only</x:v>
      </x:c>
      <x:c r="R34" s="3" t="str">
        <x:v>Government announcements establish scale and direction; transparent independent effects and audits are limited.</x:v>
      </x:c>
      <x:c r="S34" s="3" t="str">
        <x:v>Central ministry policy and platform governance</x:v>
      </x:c>
      <x:c r="T34" s="3" t="str">
        <x:v>Universal literacy and system modernisation are stated aims</x:v>
      </x:c>
      <x:c r="U34" s="3" t="str">
        <x:v>Learner-data, surveillance, model and procurement transparency need scrutiny</x:v>
      </x:c>
      <x:c r="V34" s="3" t="str">
        <x:v>Treat broad national claims as policy/deployment evidence, not outcome evidence.</x:v>
      </x:c>
      <x:c r="W34" s="3" t="str">
        <x:v>Strategic national programme</x:v>
      </x:c>
      <x:c r="X34" s="3" t="str">
        <x:v>High on existence; lower on effects</x:v>
      </x:c>
      <x:c r="Y34" s="3" t="str">
        <x:v>https://english.www.gov.cn/news/202604/15/content_WS69df29e6c6d00ca5f9a0a6b1.html</x:v>
      </x:c>
      <x:c r="Z34" s="3" t="str">
        <x:v>https://english.www.gov.cn/policies/policywatch/202504/18/content_WS6801bda9c6d0868f4e8f1da9.html</x:v>
      </x:c>
      <x:c r="AA34" s="9" t="n">
        <x:v>46268</x:v>
      </x:c>
      <x:c r="AB34" s="3" t="str">
        <x:v>No / unclear</x:v>
      </x:c>
      <x:c r="AC34" s="9" t="n">
        <x:v>46268</x:v>
      </x:c>
      <x:c r="AD34" s="3" t="str"/>
      <x:c r="AE34" s="11" t="n">
        <x:f>COUNTIF('Sources'!$A$6:$A$196,A34)</x:f>
        <x:v>2</x:v>
      </x:c>
    </x:row>
    <x:row r="35" ht="51" customHeight="1">
      <x:c r="A35" s="3" t="str">
        <x:v>P030</x:v>
      </x:c>
      <x:c r="B35" s="3" t="str">
        <x:v>Australian Framework for Generative AI in Schools + WA workload pilot</x:v>
      </x:c>
      <x:c r="C35" s="3" t="str">
        <x:v>AI × education</x:v>
      </x:c>
      <x:c r="D35" s="3" t="str">
        <x:v>National governance plus teacher-workload pilot</x:v>
      </x:c>
      <x:c r="E35" s="3" t="str">
        <x:v>Australian education ministers; Australian and Western Australian governments</x:v>
      </x:c>
      <x:c r="F35" s="3" t="str">
        <x:v>Oceania</x:v>
      </x:c>
      <x:c r="G35" s="3" t="str">
        <x:v>Australia / Western Australia</x:v>
      </x:c>
      <x:c r="H35" s="3" t="str">
        <x:v>Framework active; eight-school pilot from 2024</x:v>
      </x:c>
      <x:c r="I35" s="3" t="str">
        <x:v>School systems, teachers, pupils and service providers</x:v>
      </x:c>
      <x:c r="J35" s="3" t="str">
        <x:v>Six-principle responsible-use framework and GenAI lesson-planning/workload trial</x:v>
      </x:c>
      <x:c r="K35" s="3" t="str">
        <x:v>None identified</x:v>
      </x:c>
      <x:c r="L35" s="3" t="str">
        <x:v>Public policy framework</x:v>
      </x:c>
      <x:c r="M35" s="3" t="str">
        <x:v>No / unclear</x:v>
      </x:c>
      <x:c r="N35" s="3" t="str">
        <x:v>Guidance public; pilot system closed</x:v>
      </x:c>
      <x:c r="O35" s="3" t="str">
        <x:v>Public guidance / designated pilot</x:v>
      </x:c>
      <x:c r="P35" s="3" t="str">
        <x:v>Government documents; underlying tools proprietary or unspecified</x:v>
      </x:c>
      <x:c r="Q35" s="3" t="str">
        <x:v>Structured implementation evaluation</x:v>
      </x:c>
      <x:c r="R35" s="3" t="str">
        <x:v>National framework reviewed in 2024; workload pilot evaluation/outcome evidence remains limited publicly.</x:v>
      </x:c>
      <x:c r="S35" s="3" t="str">
        <x:v>Cross-jurisdictional taskforce and government co-funding</x:v>
      </x:c>
      <x:c r="T35" s="3" t="str">
        <x:v>Safe, responsible use and reduced teacher workload</x:v>
      </x:c>
      <x:c r="U35" s="3" t="str">
        <x:v>Framework addresses privacy/security; audit detail depends on deployments</x:v>
      </x:c>
      <x:c r="V35" s="3" t="str">
        <x:v>Framework and pilot are related but not one intervention.</x:v>
      </x:c>
      <x:c r="W35" s="3" t="str">
        <x:v>Governance-and-pilot case</x:v>
      </x:c>
      <x:c r="X35" s="3" t="str">
        <x:v>High on existence; lower on effects</x:v>
      </x:c>
      <x:c r="Y35" s="3" t="str">
        <x:v>https://www.education.gov.au/schooling/resources/australian-framework-generative-artificial-intelligence-ai-schools</x:v>
      </x:c>
      <x:c r="Z35" s="3" t="str">
        <x:v>https://ministers.education.gov.au/clare/ai-pilot-help-tackle-wa-teacher-workloads</x:v>
      </x:c>
      <x:c r="AA35" s="9" t="n">
        <x:v>46268</x:v>
      </x:c>
      <x:c r="AB35" s="3" t="str">
        <x:v>No</x:v>
      </x:c>
      <x:c r="AC35" s="9" t="n">
        <x:v>46268</x:v>
      </x:c>
      <x:c r="AD35" s="3" t="str"/>
      <x:c r="AE35" s="11" t="n">
        <x:f>COUNTIF('Sources'!$A$6:$A$196,A35)</x:f>
        <x:v>2</x:v>
      </x:c>
    </x:row>
    <x:row r="36" ht="51" customHeight="1">
      <x:c r="A36" s="3" t="str">
        <x:v>P031</x:v>
      </x:c>
      <x:c r="B36" s="3" t="str">
        <x:v>AI-ALOE — AI Institute for Adult Learning and Online Education</x:v>
      </x:c>
      <x:c r="C36" s="3" t="str">
        <x:v>AI × education × open</x:v>
      </x:c>
      <x:c r="D36" s="3" t="str">
        <x:v>National research institute</x:v>
      </x:c>
      <x:c r="E36" s="3" t="str">
        <x:v>Georgia Tech-led NSF institute</x:v>
      </x:c>
      <x:c r="F36" s="3" t="str">
        <x:v>North America</x:v>
      </x:c>
      <x:c r="G36" s="3" t="str">
        <x:v>United States</x:v>
      </x:c>
      <x:c r="H36" s="3" t="str">
        <x:v>Active</x:v>
      </x:c>
      <x:c r="I36" s="3" t="str">
        <x:v>Adult and online learners, educators and researchers</x:v>
      </x:c>
      <x:c r="J36" s="3" t="str">
        <x:v>Learning/teaching assistants, personalisation research, datasets/code and architecture work</x:v>
      </x:c>
      <x:c r="K36" s="3" t="str">
        <x:v>Project work references LTI, Caliper and Edu-API in its A4L strand</x:v>
      </x:c>
      <x:c r="L36" s="3" t="str">
        <x:v>Uses/researches open education standards</x:v>
      </x:c>
      <x:c r="M36" s="3" t="str">
        <x:v>Partial / unresolved</x:v>
      </x:c>
      <x:c r="N36" s="3" t="str">
        <x:v>Research outputs and repositories vary</x:v>
      </x:c>
      <x:c r="O36" s="3" t="str">
        <x:v>Research outputs public; applications vary</x:v>
      </x:c>
      <x:c r="P36" s="3" t="str">
        <x:v>Component-specific</x:v>
      </x:c>
      <x:c r="Q36" s="3" t="str">
        <x:v>Peer-reviewed / technical evaluation</x:v>
      </x:c>
      <x:c r="R36" s="3" t="str">
        <x:v>Substantial research portfolio; programme-wide causal learner evidence is not established.</x:v>
      </x:c>
      <x:c r="S36" s="3" t="str">
        <x:v>NSF-funded multidisciplinary institute</x:v>
      </x:c>
      <x:c r="T36" s="3" t="str">
        <x:v>Scalable adult learning and public research</x:v>
      </x:c>
      <x:c r="U36" s="3" t="str">
        <x:v>Online learner telemetry and AI assistant data need project-level review</x:v>
      </x:c>
      <x:c r="V36" s="3" t="str">
        <x:v>Standards alignment and openness vary across work packages.</x:v>
      </x:c>
      <x:c r="W36" s="3" t="str">
        <x:v>High-priority standards-aware research</x:v>
      </x:c>
      <x:c r="X36" s="3" t="str">
        <x:v>High on existence; lower on effects</x:v>
      </x:c>
      <x:c r="Y36" s="3" t="str">
        <x:v>https://aialoe.org/</x:v>
      </x:c>
      <x:c r="Z36" s="3" t="str">
        <x:v>https://github.com/aialoe</x:v>
      </x:c>
      <x:c r="AA36" s="9" t="n">
        <x:v>46268</x:v>
      </x:c>
      <x:c r="AB36" s="3" t="str">
        <x:v>Partial — public repositories</x:v>
      </x:c>
      <x:c r="AC36" s="9" t="n">
        <x:v>46268</x:v>
      </x:c>
      <x:c r="AD36" s="3" t="str"/>
      <x:c r="AE36" s="11" t="n">
        <x:f>COUNTIF('Sources'!$A$6:$A$196,A36)</x:f>
        <x:v>2</x:v>
      </x:c>
    </x:row>
    <x:row r="37" ht="51" customHeight="1">
      <x:c r="A37" s="3" t="str">
        <x:v>P032</x:v>
      </x:c>
      <x:c r="B37" s="3" t="str">
        <x:v>INVITE — Inclusive and Intelligent Technologies for Education</x:v>
      </x:c>
      <x:c r="C37" s="3" t="str">
        <x:v>AI × education × open</x:v>
      </x:c>
      <x:c r="D37" s="3" t="str">
        <x:v>National research institute</x:v>
      </x:c>
      <x:c r="E37" s="3" t="str">
        <x:v>University of Illinois-led NSF/IES institute</x:v>
      </x:c>
      <x:c r="F37" s="3" t="str">
        <x:v>North America</x:v>
      </x:c>
      <x:c r="G37" s="3" t="str">
        <x:v>United States</x:v>
      </x:c>
      <x:c r="H37" s="3" t="str">
        <x:v>Active</x:v>
      </x:c>
      <x:c r="I37" s="3" t="str">
        <x:v>Learners, educators, researchers and education developers</x:v>
      </x:c>
      <x:c r="J37" s="3" t="str">
        <x:v>AI systems supporting persistence, resilience and collaboration plus research software/data</x:v>
      </x:c>
      <x:c r="K37" s="3" t="str">
        <x:v>None identified</x:v>
      </x:c>
      <x:c r="L37" s="3" t="str">
        <x:v>No</x:v>
      </x:c>
      <x:c r="M37" s="3" t="str">
        <x:v>Partial / unresolved</x:v>
      </x:c>
      <x:c r="N37" s="3" t="str">
        <x:v>Project-dependent</x:v>
      </x:c>
      <x:c r="O37" s="3" t="str">
        <x:v>Research programme</x:v>
      </x:c>
      <x:c r="P37" s="3" t="str">
        <x:v>Component-specific</x:v>
      </x:c>
      <x:c r="Q37" s="3" t="str">
        <x:v>Peer-reviewed / technical evaluation</x:v>
      </x:c>
      <x:c r="R37" s="3" t="str">
        <x:v>Learning-sciences-grounded institute with multiple studies; evidence should be assessed per intervention.</x:v>
      </x:c>
      <x:c r="S37" s="3" t="str">
        <x:v>Joint NSF/IES public research investment</x:v>
      </x:c>
      <x:c r="T37" s="3" t="str">
        <x:v>Inclusive technologies and public research infrastructure</x:v>
      </x:c>
      <x:c r="U37" s="3" t="str">
        <x:v>Learner interaction data require project-level governance</x:v>
      </x:c>
      <x:c r="V37" s="3" t="str">
        <x:v>Institute-level visibility can obscure uneven subproject maturity.</x:v>
      </x:c>
      <x:c r="W37" s="3" t="str">
        <x:v>Major public research ecosystem</x:v>
      </x:c>
      <x:c r="X37" s="3" t="str">
        <x:v>High on existence; lower on effects</x:v>
      </x:c>
      <x:c r="Y37" s="3" t="str">
        <x:v>https://ies.ed.gov/use-work/awards/invite-inclusive-and-innovative-intelligent-technologies-education</x:v>
      </x:c>
      <x:c r="Z37" s="3" t="str">
        <x:v>https://invite.illinois.edu/</x:v>
      </x:c>
      <x:c r="AA37" s="9" t="n">
        <x:v>46268</x:v>
      </x:c>
      <x:c r="AB37" s="3" t="str">
        <x:v>Partial / public research software</x:v>
      </x:c>
      <x:c r="AC37" s="9" t="n">
        <x:v>46268</x:v>
      </x:c>
      <x:c r="AD37" s="3" t="str"/>
      <x:c r="AE37" s="11" t="n">
        <x:f>COUNTIF('Sources'!$A$6:$A$196,A37)</x:f>
        <x:v>2</x:v>
      </x:c>
    </x:row>
    <x:row r="38" ht="51" customHeight="1">
      <x:c r="A38" s="3" t="str">
        <x:v>P033</x:v>
      </x:c>
      <x:c r="B38" s="3" t="str">
        <x:v>AI4ExceptionalEd</x:v>
      </x:c>
      <x:c r="C38" s="3" t="str">
        <x:v>AI × education</x:v>
      </x:c>
      <x:c r="D38" s="3" t="str">
        <x:v>National research institute</x:v>
      </x:c>
      <x:c r="E38" s="3" t="str">
        <x:v>University at Buffalo-led NSF/IES institute</x:v>
      </x:c>
      <x:c r="F38" s="3" t="str">
        <x:v>North America</x:v>
      </x:c>
      <x:c r="G38" s="3" t="str">
        <x:v>United States</x:v>
      </x:c>
      <x:c r="H38" s="3" t="str">
        <x:v>Active; early-stage</x:v>
      </x:c>
      <x:c r="I38" s="3" t="str">
        <x:v>Children aged roughly 3–10, educators and specialists</x:v>
      </x:c>
      <x:c r="J38" s="3" t="str">
        <x:v>AI Screener and Orchestrator for speech/language needs and personalised support</x:v>
      </x:c>
      <x:c r="K38" s="3" t="str">
        <x:v>None identified</x:v>
      </x:c>
      <x:c r="L38" s="3" t="str">
        <x:v>No</x:v>
      </x:c>
      <x:c r="M38" s="3" t="str">
        <x:v>No / unclear</x:v>
      </x:c>
      <x:c r="N38" s="3" t="str">
        <x:v>No / unclear</x:v>
      </x:c>
      <x:c r="O38" s="3" t="str">
        <x:v>Research and partner deployments</x:v>
      </x:c>
      <x:c r="P38" s="3" t="str">
        <x:v>Open release commitments unclear</x:v>
      </x:c>
      <x:c r="Q38" s="3" t="str">
        <x:v>Technical / prototype evaluation</x:v>
      </x:c>
      <x:c r="R38" s="3" t="str">
        <x:v>Large public investment and strong problem framing; outcome evidence is still emergent.</x:v>
      </x:c>
      <x:c r="S38" s="3" t="str">
        <x:v>NSF/IES-funded multidisciplinary institute</x:v>
      </x:c>
      <x:c r="T38" s="3" t="str">
        <x:v>Early identification and support for children with speech/language needs</x:v>
      </x:c>
      <x:c r="U38" s="3" t="str">
        <x:v>Young children’s voice, disability and education data are highly sensitive</x:v>
      </x:c>
      <x:c r="V38" s="3" t="str">
        <x:v>Potential is substantial, but clinical/educational validation and equity audits are pending.</x:v>
      </x:c>
      <x:c r="W38" s="3" t="str">
        <x:v>High-stakes research watch</x:v>
      </x:c>
      <x:c r="X38" s="3" t="str">
        <x:v>High on existence; lower on effects</x:v>
      </x:c>
      <x:c r="Y38" s="3" t="str">
        <x:v>https://www.buffalo.edu/ai4exceptionaled.html</x:v>
      </x:c>
      <x:c r="Z38" s="3"/>
      <x:c r="AA38" s="9" t="n">
        <x:v>46268</x:v>
      </x:c>
      <x:c r="AB38" s="3" t="str">
        <x:v>No / unclear</x:v>
      </x:c>
      <x:c r="AC38" s="9" t="n">
        <x:v>46268</x:v>
      </x:c>
      <x:c r="AD38" s="3" t="str"/>
      <x:c r="AE38" s="11" t="n">
        <x:f>COUNTIF('Sources'!$A$6:$A$196,A38)</x:f>
        <x:v>1</x:v>
      </x:c>
    </x:row>
    <x:row r="39" ht="51" customHeight="1">
      <x:c r="A39" s="3" t="str">
        <x:v>P034</x:v>
      </x:c>
      <x:c r="B39" s="3" t="str">
        <x:v>Nigeria after-school generative-AI tutoring pilot</x:v>
      </x:c>
      <x:c r="C39" s="3" t="str">
        <x:v>AI × education</x:v>
      </x:c>
      <x:c r="D39" s="3" t="str">
        <x:v>Evaluated classroom/after-school pilot</x:v>
      </x:c>
      <x:c r="E39" s="3" t="str">
        <x:v>World Bank research team with Nigerian school partners</x:v>
      </x:c>
      <x:c r="F39" s="3" t="str">
        <x:v>Africa</x:v>
      </x:c>
      <x:c r="G39" s="3" t="str">
        <x:v>Nigeria</x:v>
      </x:c>
      <x:c r="H39" s="3" t="str">
        <x:v>Six-week pilot in 2024; follow-up research</x:v>
      </x:c>
      <x:c r="I39" s="3" t="str">
        <x:v>Secondary learners, with teacher facilitation</x:v>
      </x:c>
      <x:c r="J39" s="3" t="str">
        <x:v>Generative-AI supported after-school learning sessions</x:v>
      </x:c>
      <x:c r="K39" s="3" t="str">
        <x:v>None identified</x:v>
      </x:c>
      <x:c r="L39" s="3" t="str">
        <x:v>No</x:v>
      </x:c>
      <x:c r="M39" s="3" t="str">
        <x:v>No / unclear</x:v>
      </x:c>
      <x:c r="N39" s="3" t="str">
        <x:v>No / unclear</x:v>
      </x:c>
      <x:c r="O39" s="3" t="str">
        <x:v>Research pilot</x:v>
      </x:c>
      <x:c r="P39" s="3" t="str">
        <x:v>Commercial model dependency; no open implementation</x:v>
      </x:c>
      <x:c r="Q39" s="3" t="str">
        <x:v>Causal learner outcomes</x:v>
      </x:c>
      <x:c r="R39" s="3" t="str">
        <x:v>Randomised evaluation reported roughly +0.3 SD and end-of-year exam gains; publication and replication details merit full appraisal.</x:v>
      </x:c>
      <x:c r="S39" s="3" t="str">
        <x:v>World Bank-supported study with local delivery</x:v>
      </x:c>
      <x:c r="T39" s="3" t="str">
        <x:v>Low-resource public-school learning and gender analysis</x:v>
      </x:c>
      <x:c r="U39" s="3" t="str">
        <x:v>Student prompts/accounts and provider terms need review</x:v>
      </x:c>
      <x:c r="V39" s="3" t="str">
        <x:v>Short, facilitated pilot; not evidence for unguided or system-wide deployment.</x:v>
      </x:c>
      <x:c r="W39" s="3" t="str">
        <x:v>Strong emerging evidence</x:v>
      </x:c>
      <x:c r="X39" s="3" t="str">
        <x:v>High on existence; lower on effects</x:v>
      </x:c>
      <x:c r="Y39" s="3" t="str">
        <x:v>https://blogs.worldbank.org/en/education/From-chalkboards-to-chatbots-Transforming-learning-in-Nigeria</x:v>
      </x:c>
      <x:c r="Z39" s="3"/>
      <x:c r="AA39" s="9" t="n">
        <x:v>46268</x:v>
      </x:c>
      <x:c r="AB39" s="3" t="str">
        <x:v>No / unclear</x:v>
      </x:c>
      <x:c r="AC39" s="9" t="n">
        <x:v>46268</x:v>
      </x:c>
      <x:c r="AD39" s="3" t="str"/>
      <x:c r="AE39" s="11" t="n">
        <x:f>COUNTIF('Sources'!$A$6:$A$196,A39)</x:f>
        <x:v>1</x:v>
      </x:c>
    </x:row>
    <x:row r="40" ht="51" customHeight="1">
      <x:c r="A40" s="3" t="str">
        <x:v>P035</x:v>
      </x:c>
      <x:c r="B40" s="3" t="str">
        <x:v>Gallito — AI-supported learning in Peru</x:v>
      </x:c>
      <x:c r="C40" s="3" t="str">
        <x:v>AI × education</x:v>
      </x:c>
      <x:c r="D40" s="3" t="str">
        <x:v>Classroom AI pilot</x:v>
      </x:c>
      <x:c r="E40" s="3" t="str">
        <x:v>World Bank and Peruvian education partners</x:v>
      </x:c>
      <x:c r="F40" s="3" t="str">
        <x:v>Latin America</x:v>
      </x:c>
      <x:c r="G40" s="3" t="str">
        <x:v>Peru, with related work in Ecuador and El Salvador</x:v>
      </x:c>
      <x:c r="H40" s="3" t="str">
        <x:v>Pilot/RCT underway; reported July 2026</x:v>
      </x:c>
      <x:c r="I40" s="3" t="str">
        <x:v>School pupils and teachers</x:v>
      </x:c>
      <x:c r="J40" s="3" t="str">
        <x:v>AI-supported learning design with teacher training and implementation support</x:v>
      </x:c>
      <x:c r="K40" s="3" t="str">
        <x:v>None identified</x:v>
      </x:c>
      <x:c r="L40" s="3" t="str">
        <x:v>No</x:v>
      </x:c>
      <x:c r="M40" s="3" t="str">
        <x:v>No / unclear</x:v>
      </x:c>
      <x:c r="N40" s="3" t="str">
        <x:v>No / unclear</x:v>
      </x:c>
      <x:c r="O40" s="3" t="str">
        <x:v>Public-development pilot</x:v>
      </x:c>
      <x:c r="P40" s="3" t="str">
        <x:v>Tool and content openness not established</x:v>
      </x:c>
      <x:c r="Q40" s="3" t="str">
        <x:v>Controlled study underway</x:v>
      </x:c>
      <x:c r="R40" s="3" t="str">
        <x:v>RCT infrastructure is in place, but long-term learning results were unresolved at the research cutoff.</x:v>
      </x:c>
      <x:c r="S40" s="3" t="str">
        <x:v>World Bank plus national/local partners</x:v>
      </x:c>
      <x:c r="T40" s="3" t="str">
        <x:v>Regional public-system learning and evidence generation</x:v>
      </x:c>
      <x:c r="U40" s="3" t="str">
        <x:v>Learner data and model arrangements need study-specific review</x:v>
      </x:c>
      <x:c r="V40" s="3" t="str">
        <x:v>Do not treat promising implementation observations as final causal results.</x:v>
      </x:c>
      <x:c r="W40" s="3" t="str">
        <x:v>High-priority Latin American evaluation</x:v>
      </x:c>
      <x:c r="X40" s="3" t="str">
        <x:v>High on existence; lower on effects</x:v>
      </x:c>
      <x:c r="Y40" s="3" t="str">
        <x:v>https://www.worldbank.org/en/results/2026/07/02/artificial-intelligence-in-action-in-latin-america-s-schools-evidence-from-peru</x:v>
      </x:c>
      <x:c r="Z40" s="3"/>
      <x:c r="AA40" s="9" t="n">
        <x:v>46268</x:v>
      </x:c>
      <x:c r="AB40" s="3" t="str">
        <x:v>No / unclear</x:v>
      </x:c>
      <x:c r="AC40" s="9" t="n">
        <x:v>46268</x:v>
      </x:c>
      <x:c r="AD40" s="3" t="str"/>
      <x:c r="AE40" s="11" t="n">
        <x:f>COUNTIF('Sources'!$A$6:$A$196,A40)</x:f>
        <x:v>1</x:v>
      </x:c>
    </x:row>
    <x:row r="41" ht="51" customHeight="1">
      <x:c r="A41" s="3" t="str">
        <x:v>P036</x:v>
      </x:c>
      <x:c r="B41" s="3" t="str">
        <x:v>Oak Open Curriculum Ecosystem</x:v>
      </x:c>
      <x:c r="C41" s="3" t="str">
        <x:v>AI × education × open</x:v>
      </x:c>
      <x:c r="D41" s="3" t="str">
        <x:v>AI-ready curriculum infrastructure</x:v>
      </x:c>
      <x:c r="E41" s="3" t="str">
        <x:v>Oak National Academy</x:v>
      </x:c>
      <x:c r="F41" s="3" t="str">
        <x:v>Europe</x:v>
      </x:c>
      <x:c r="G41" s="3" t="str">
        <x:v>United Kingdom</x:v>
      </x:c>
      <x:c r="H41" s="3" t="str">
        <x:v>Active open infrastructure; repository from 2025</x:v>
      </x:c>
      <x:c r="I41" s="3" t="str">
        <x:v>Education developers, researchers and teachers</x:v>
      </x:c>
      <x:c r="J41" s="3" t="str">
        <x:v>OpenAPI SDK, MCP server/app, graph tools, semantic search and evidence-bearing curriculum responses</x:v>
      </x:c>
      <x:c r="K41" s="3" t="str">
        <x:v>OpenAPI and MCP; curriculum-linked identifiers</x:v>
      </x:c>
      <x:c r="L41" s="3" t="str">
        <x:v>Yes</x:v>
      </x:c>
      <x:c r="M41" s="3" t="str">
        <x:v>Yes</x:v>
      </x:c>
      <x:c r="N41" s="3" t="str">
        <x:v>Open curriculum data/content</x:v>
      </x:c>
      <x:c r="O41" s="3" t="str">
        <x:v>Open public infrastructure</x:v>
      </x:c>
      <x:c r="P41" s="3" t="str">
        <x:v>MIT code; UK Open Government Licence curriculum/API</x:v>
      </x:c>
      <x:c r="Q41" s="3" t="str">
        <x:v>Technical / retrieval evaluation</x:v>
      </x:c>
      <x:c r="R41" s="3" t="str">
        <x:v>Engineering and retrieval evidence; no pupil-outcome evaluation expected yet.</x:v>
      </x:c>
      <x:c r="S41" s="3" t="str">
        <x:v>Publicly funded national curriculum body</x:v>
      </x:c>
      <x:c r="T41" s="3" t="str">
        <x:v>Open, curriculum-grounded infrastructure for reusable AI tools</x:v>
      </x:c>
      <x:c r="U41" s="3" t="str">
        <x:v>Primarily public curriculum data; low personal-data exposure</x:v>
      </x:c>
      <x:c r="V41" s="3" t="str">
        <x:v>Open APIs and good retrieval do not establish instructional effectiveness.</x:v>
      </x:c>
      <x:c r="W41" s="3" t="str">
        <x:v>Strong explicit-intersection candidate</x:v>
      </x:c>
      <x:c r="X41" s="3" t="str">
        <x:v>High</x:v>
      </x:c>
      <x:c r="Y41" s="3" t="str">
        <x:v>https://github.com/oaknational/oak-open-curriculum-ecosystem</x:v>
      </x:c>
      <x:c r="Z41" s="3" t="str">
        <x:v>https://open-api.thenational.academy/</x:v>
      </x:c>
      <x:c r="AA41" s="9" t="n">
        <x:v>46268</x:v>
      </x:c>
      <x:c r="AB41" s="3" t="str">
        <x:v>Yes</x:v>
      </x:c>
      <x:c r="AC41" s="9" t="n">
        <x:v>46268</x:v>
      </x:c>
      <x:c r="AD41" s="3" t="str"/>
      <x:c r="AE41" s="11" t="n">
        <x:f>COUNTIF('Sources'!$A$6:$A$196,A41)</x:f>
        <x:v>2</x:v>
      </x:c>
    </x:row>
    <x:row r="42" ht="51" customHeight="1">
      <x:c r="A42" s="3" t="str">
        <x:v>P037</x:v>
      </x:c>
      <x:c r="B42" s="3" t="str">
        <x:v>Aila — Oak’s AI Lesson Assistant</x:v>
      </x:c>
      <x:c r="C42" s="3" t="str">
        <x:v>AI × education × open</x:v>
      </x:c>
      <x:c r="D42" s="3" t="str">
        <x:v>Teacher lesson-planning assistant</x:v>
      </x:c>
      <x:c r="E42" s="3" t="str">
        <x:v>Oak National Academy</x:v>
      </x:c>
      <x:c r="F42" s="3" t="str">
        <x:v>Europe</x:v>
      </x:c>
      <x:c r="G42" s="3" t="str">
        <x:v>United Kingdom</x:v>
      </x:c>
      <x:c r="H42" s="3" t="str">
        <x:v>Public beta/production from 2024</x:v>
      </x:c>
      <x:c r="I42" s="3" t="str">
        <x:v>Teachers</x:v>
      </x:c>
      <x:c r="J42" s="3" t="str">
        <x:v>Conversational creation and adaptation of lesson plans, slides, quizzes and worksheets grounded in Oak content</x:v>
      </x:c>
      <x:c r="K42" s="3" t="str">
        <x:v>Uses Oak open curriculum ecosystem; public algorithmic-transparency record</x:v>
      </x:c>
      <x:c r="L42" s="3" t="str">
        <x:v>Partial</x:v>
      </x:c>
      <x:c r="M42" s="3" t="str">
        <x:v>Yes</x:v>
      </x:c>
      <x:c r="N42" s="3" t="str">
        <x:v>Oak curriculum content open; generated-resource terms should be checked</x:v>
      </x:c>
      <x:c r="O42" s="3" t="str">
        <x:v>Free public beta</x:v>
      </x:c>
      <x:c r="P42" s="3" t="str">
        <x:v>MIT code; curriculum under OGL; frontier model proprietary</x:v>
      </x:c>
      <x:c r="Q42" s="3" t="str">
        <x:v>Structured implementation evaluation</x:v>
      </x:c>
      <x:c r="R42" s="3" t="str">
        <x:v>Teacher-facing testing and transparency documentation; no independent learning-outcome evaluation located.</x:v>
      </x:c>
      <x:c r="S42" s="3" t="str">
        <x:v>Public body with government algorithmic-transparency record and human review</x:v>
      </x:c>
      <x:c r="T42" s="3" t="str">
        <x:v>Teacher workload and public curriculum access</x:v>
      </x:c>
      <x:c r="U42" s="3" t="str">
        <x:v>Teacher prompts and account data require operational controls</x:v>
      </x:c>
      <x:c r="V42" s="3" t="str">
        <x:v>Open code/content coexist with a proprietary hosted model dependency.</x:v>
      </x:c>
      <x:c r="W42" s="3" t="str">
        <x:v>Strong explicit-intersection candidate</x:v>
      </x:c>
      <x:c r="X42" s="3" t="str">
        <x:v>High on existence; lower on effects</x:v>
      </x:c>
      <x:c r="Y42" s="3" t="str">
        <x:v>https://www.gov.uk/algorithmic-transparency-records/oak-national-academy-aila-oaks-ai-lesson-assistant</x:v>
      </x:c>
      <x:c r="Z42" s="3" t="str">
        <x:v>https://github.com/oaknational/oak-ai-lesson-assistant</x:v>
      </x:c>
      <x:c r="AA42" s="9" t="n">
        <x:v>46268</x:v>
      </x:c>
      <x:c r="AB42" s="3" t="str">
        <x:v>Yes</x:v>
      </x:c>
      <x:c r="AC42" s="9" t="n">
        <x:v>46268</x:v>
      </x:c>
      <x:c r="AD42" s="3" t="str"/>
      <x:c r="AE42" s="11" t="n">
        <x:f>COUNTIF('Sources'!$A$6:$A$196,A42)</x:f>
        <x:v>2</x:v>
      </x:c>
    </x:row>
    <x:row r="43" ht="51" customHeight="1">
      <x:c r="A43" s="3" t="str">
        <x:v>P038</x:v>
      </x:c>
      <x:c r="B43" s="3" t="str">
        <x:v>Learning Commons — Knowledge Graph, Evaluators and Agent Skills</x:v>
      </x:c>
      <x:c r="C43" s="3" t="str">
        <x:v>AI × education × open</x:v>
      </x:c>
      <x:c r="D43" s="3" t="str">
        <x:v>AI-ready curriculum and evaluation infrastructure</x:v>
      </x:c>
      <x:c r="E43" s="3" t="str">
        <x:v>Learning Commons (formerly CZI education infrastructure)</x:v>
      </x:c>
      <x:c r="F43" s="3" t="str">
        <x:v>North America</x:v>
      </x:c>
      <x:c r="G43" s="3" t="str">
        <x:v>United States with wider reuse potential</x:v>
      </x:c>
      <x:c r="H43" s="3" t="str">
        <x:v>Beta / early production; public releases from 2025</x:v>
      </x:c>
      <x:c r="I43" s="3" t="str">
        <x:v>Education developers, districts, researchers and AI tool builders</x:v>
      </x:c>
      <x:c r="J43" s="3" t="str">
        <x:v>Structured curriculum/standards/learning-science graph, evaluators, APIs, datasets and MCP tools</x:v>
      </x:c>
      <x:c r="K43" s="3" t="str">
        <x:v>Uses 1EdTech CASE identifiers; JSONL/APIs/MCP</x:v>
      </x:c>
      <x:c r="L43" s="3" t="str">
        <x:v>Yes / uses CASE</x:v>
      </x:c>
      <x:c r="M43" s="3" t="str">
        <x:v>Yes</x:v>
      </x:c>
      <x:c r="N43" s="3" t="str">
        <x:v>Yes — most data CC BY 4.0; progressions CC0</x:v>
      </x:c>
      <x:c r="O43" s="3" t="str">
        <x:v>Open public infrastructure</x:v>
      </x:c>
      <x:c r="P43" s="3" t="str">
        <x:v>MIT code; CC BY 4.0 / CC0 data with upstream attribution</x:v>
      </x:c>
      <x:c r="Q43" s="3" t="str">
        <x:v>Peer-reviewed / expert-grounded technical evaluation</x:v>
      </x:c>
      <x:c r="R43" s="3" t="str">
        <x:v>Published prompts, logic and expert rubrics improve inspectability; independent classroom outcomes remain absent.</x:v>
      </x:c>
      <x:c r="S43" s="3" t="str">
        <x:v>Nonprofit/public-infrastructure posture with educator and research partners</x:v>
      </x:c>
      <x:c r="T43" s="3" t="str">
        <x:v>Open grounding/evaluation layer for higher-quality AI</x:v>
      </x:c>
      <x:c r="U43" s="3" t="str">
        <x:v>Main assets are public curriculum data; downstream apps determine learner-data risk</x:v>
      </x:c>
      <x:c r="V43" s="3" t="str">
        <x:v>Early release and semantic-mapping quality need external validation.</x:v>
      </x:c>
      <x:c r="W43" s="3" t="str">
        <x:v>Top-tier explicit-intersection candidate</x:v>
      </x:c>
      <x:c r="X43" s="3" t="str">
        <x:v>High</x:v>
      </x:c>
      <x:c r="Y43" s="3" t="str">
        <x:v>https://docs.learningcommons.org/</x:v>
      </x:c>
      <x:c r="Z43" s="3" t="str">
        <x:v>https://github.com/learning-commons-org/knowledge-graph</x:v>
      </x:c>
      <x:c r="AA43" s="9" t="n">
        <x:v>46268</x:v>
      </x:c>
      <x:c r="AB43" s="3" t="str">
        <x:v>Yes</x:v>
      </x:c>
      <x:c r="AC43" s="9" t="n">
        <x:v>46268</x:v>
      </x:c>
      <x:c r="AD43" s="3" t="str"/>
      <x:c r="AE43" s="11" t="n">
        <x:f>COUNTIF('Sources'!$A$6:$A$196,A43)</x:f>
        <x:v>2</x:v>
      </x:c>
    </x:row>
    <x:row r="44" ht="51" customHeight="1">
      <x:c r="A44" s="3" t="str">
        <x:v>P039</x:v>
      </x:c>
      <x:c r="B44" s="3" t="str">
        <x:v>Credential Engine CTDL + CTDL xTRA</x:v>
      </x:c>
      <x:c r="C44" s="3" t="str">
        <x:v>AI × education × open</x:v>
      </x:c>
      <x:c r="D44" s="3" t="str">
        <x:v>Open credential/skills data and AI extraction</x:v>
      </x:c>
      <x:c r="E44" s="3" t="str">
        <x:v>Credential Engine</x:v>
      </x:c>
      <x:c r="F44" s="3" t="str">
        <x:v>North America</x:v>
      </x:c>
      <x:c r="G44" s="3" t="str">
        <x:v>United States-led with international mappings</x:v>
      </x:c>
      <x:c r="H44" s="3" t="str">
        <x:v>Active production infrastructure</x:v>
      </x:c>
      <x:c r="I44" s="3" t="str">
        <x:v>Credential providers, learners, policymakers, developers and workforce systems</x:v>
      </x:c>
      <x:c r="J44" s="3" t="str">
        <x:v>CTDL linked-data schema, Registry APIs and human-reviewed LLM extraction of public credential pages</x:v>
      </x:c>
      <x:c r="K44" s="3" t="str">
        <x:v>RDF/JSON-LD CTDL; mappings to CASE, Open Badges and other standards</x:v>
      </x:c>
      <x:c r="L44" s="3" t="str">
        <x:v>Yes</x:v>
      </x:c>
      <x:c r="M44" s="3" t="str">
        <x:v>Yes</x:v>
      </x:c>
      <x:c r="N44" s="3" t="str">
        <x:v>Linked open registry data</x:v>
      </x:c>
      <x:c r="O44" s="3" t="str">
        <x:v>Open data/API; support services vary</x:v>
      </x:c>
      <x:c r="P44" s="3" t="str">
        <x:v>CTDL CC BY 4.0; xTRA and tools Apache-2.0/component-specific</x:v>
      </x:c>
      <x:c r="Q44" s="3" t="str">
        <x:v>Technical / adoption evidence</x:v>
      </x:c>
      <x:c r="R44" s="3" t="str">
        <x:v>Multiple state implementations and open tooling; metadata quality depends on sources and human review.</x:v>
      </x:c>
      <x:c r="S44" s="3" t="str">
        <x:v>Nonprofit with advisory groups, public change process and state partners</x:v>
      </x:c>
      <x:c r="T44" s="3" t="str">
        <x:v>Credential transparency, discoverability and interoperable pathways</x:v>
      </x:c>
      <x:c r="U44" s="3" t="str">
        <x:v>xTRA processes public institutional data, not learner records</x:v>
      </x:c>
      <x:c r="V44" s="3" t="str">
        <x:v>Registry descriptions are provider-published metadata, not verified learner awards.</x:v>
      </x:c>
      <x:c r="W44" s="3" t="str">
        <x:v>Top-tier explicit-intersection candidate</x:v>
      </x:c>
      <x:c r="X44" s="3" t="str">
        <x:v>High</x:v>
      </x:c>
      <x:c r="Y44" s="3" t="str">
        <x:v>https://credentialengine.org/credentialtransparency-ai/</x:v>
      </x:c>
      <x:c r="Z44" s="3" t="str">
        <x:v>https://github.com/CredentialEngine/ctdl-xtra</x:v>
      </x:c>
      <x:c r="AA44" s="9" t="n">
        <x:v>46268</x:v>
      </x:c>
      <x:c r="AB44" s="3" t="str">
        <x:v>Yes</x:v>
      </x:c>
      <x:c r="AC44" s="9" t="n">
        <x:v>46268</x:v>
      </x:c>
      <x:c r="AD44" s="3" t="str"/>
      <x:c r="AE44" s="11" t="n">
        <x:f>COUNTIF('Sources'!$A$6:$A$196,A44)</x:f>
        <x:v>2</x:v>
      </x:c>
    </x:row>
    <x:row r="45" ht="51" customHeight="1">
      <x:c r="A45" s="3" t="str">
        <x:v>P040</x:v>
      </x:c>
      <x:c r="B45" s="3" t="str">
        <x:v>OATutor / OATutor-Content</x:v>
      </x:c>
      <x:c r="C45" s="3" t="str">
        <x:v>AI × education × open</x:v>
      </x:c>
      <x:c r="D45" s="3" t="str">
        <x:v>Open adaptive tutoring platform</x:v>
      </x:c>
      <x:c r="E45" s="3" t="str">
        <x:v>UC Berkeley CAHLR</x:v>
      </x:c>
      <x:c r="F45" s="3" t="str">
        <x:v>North America</x:v>
      </x:c>
      <x:c r="G45" s="3" t="str">
        <x:v>United States / reusable globally</x:v>
      </x:c>
      <x:c r="H45" s="3" t="str">
        <x:v>Active research platform</x:v>
      </x:c>
      <x:c r="I45" s="3" t="str">
        <x:v>Mathematics learners, researchers and LMS implementers</x:v>
      </x:c>
      <x:c r="J45" s="3" t="str">
        <x:v>Bayesian Knowledge Tracing tutor, step hints, A/B testing and reusable problem library</x:v>
      </x:c>
      <x:c r="K45" s="3" t="str">
        <x:v>Optional LTI integration; Section 508 support</x:v>
      </x:c>
      <x:c r="L45" s="3" t="str">
        <x:v>Uses LTI</x:v>
      </x:c>
      <x:c r="M45" s="3" t="str">
        <x:v>Yes</x:v>
      </x:c>
      <x:c r="N45" s="3" t="str">
        <x:v>Yes — Creative Commons problem library</x:v>
      </x:c>
      <x:c r="O45" s="3" t="str">
        <x:v>Open self-hosted</x:v>
      </x:c>
      <x:c r="P45" s="3" t="str">
        <x:v>MIT code; CC BY 4.0 content with item attribution</x:v>
      </x:c>
      <x:c r="Q45" s="3" t="str">
        <x:v>Controlled / peer-reviewed learner study</x:v>
      </x:c>
      <x:c r="R45" s="3" t="str">
        <x:v>CHI platform work and a 2024 study of 274 learners; ChatGPT help was comparable to authored help in a bounded setting.</x:v>
      </x:c>
      <x:c r="S45" s="3" t="str">
        <x:v>University research lab and transparent repositories</x:v>
      </x:c>
      <x:c r="T45" s="3" t="str">
        <x:v>Democratises adaptive-learning research and replication</x:v>
      </x:c>
      <x:c r="U45" s="3" t="str">
        <x:v>Optional Firebase/cloud logging must be configured carefully</x:v>
      </x:c>
      <x:c r="V45" s="3" t="str">
        <x:v>Bounded studies do not establish large-scale classroom effectiveness.</x:v>
      </x:c>
      <x:c r="W45" s="3" t="str">
        <x:v>Top-tier explicit-intersection candidate</x:v>
      </x:c>
      <x:c r="X45" s="3" t="str">
        <x:v>High</x:v>
      </x:c>
      <x:c r="Y45" s="3" t="str">
        <x:v>https://github.com/CAHLR/OATutor</x:v>
      </x:c>
      <x:c r="Z45" s="3" t="str">
        <x:v>https://pmc.ncbi.nlm.nih.gov/articles/PMC11125466/</x:v>
      </x:c>
      <x:c r="AA45" s="9" t="n">
        <x:v>46268</x:v>
      </x:c>
      <x:c r="AB45" s="3" t="str">
        <x:v>Yes</x:v>
      </x:c>
      <x:c r="AC45" s="9" t="n">
        <x:v>46268</x:v>
      </x:c>
      <x:c r="AD45" s="3" t="str">
        <x:v>Later deep OATutor audit is in document 10; this discovery row retains its dated evidence.</x:v>
      </x:c>
      <x:c r="AE45" s="11" t="n">
        <x:f>COUNTIF('Sources'!$A$6:$A$196,A45)</x:f>
        <x:v>2</x:v>
      </x:c>
    </x:row>
    <x:row r="46" ht="51" customHeight="1">
      <x:c r="A46" s="3" t="str">
        <x:v>P041</x:v>
      </x:c>
      <x:c r="B46" s="3" t="str">
        <x:v>TutorChat / LM-Science-Tutor</x:v>
      </x:c>
      <x:c r="C46" s="3" t="str">
        <x:v>AI × education × open</x:v>
      </x:c>
      <x:c r="D46" s="3" t="str">
        <x:v>Open tutoring dataset, models and benchmark</x:v>
      </x:c>
      <x:c r="E46" s="3" t="str">
        <x:v>Princeton NLP</x:v>
      </x:c>
      <x:c r="F46" s="3" t="str">
        <x:v>North America</x:v>
      </x:c>
      <x:c r="G46" s="3" t="str">
        <x:v>United States / global research use</x:v>
      </x:c>
      <x:c r="H46" s="3" t="str">
        <x:v>Research artifact released 2024</x:v>
      </x:c>
      <x:c r="I46" s="3" t="str">
        <x:v>AI tutoring researchers and developers</x:v>
      </x:c>
      <x:c r="J46" s="3" t="str">
        <x:v>About 80,000 synthetic science dialogues, TutorEval and fine-tuned tutor models grounded in OER</x:v>
      </x:c>
      <x:c r="K46" s="3" t="str">
        <x:v>None identified</x:v>
      </x:c>
      <x:c r="L46" s="3" t="str">
        <x:v>No</x:v>
      </x:c>
      <x:c r="M46" s="3" t="str">
        <x:v>Partial / unresolved</x:v>
      </x:c>
      <x:c r="N46" s="3" t="str">
        <x:v>Data/models downloadable; provenance and licence mixed</x:v>
      </x:c>
      <x:c r="O46" s="3" t="str">
        <x:v>Public research release</x:v>
      </x:c>
      <x:c r="P46" s="3" t="str">
        <x:v>No clear SPDX licence found; audit OER/model/provider terms</x:v>
      </x:c>
      <x:c r="Q46" s="3" t="str">
        <x:v>Technical benchmark</x:v>
      </x:c>
      <x:c r="R46" s="3" t="str">
        <x:v>Substantial model benchmark, not evidence of real learner benefit.</x:v>
      </x:c>
      <x:c r="S46" s="3" t="str">
        <x:v>University research team</x:v>
      </x:c>
      <x:c r="T46" s="3" t="str">
        <x:v>Reusable research infrastructure for science tutoring</x:v>
      </x:c>
      <x:c r="U46" s="3" t="str">
        <x:v>Synthetic dialogue reduces direct learner-data risk; provenance still matters</x:v>
      </x:c>
      <x:c r="V46" s="3" t="str">
        <x:v>Public availability is not a reusable open licence.</x:v>
      </x:c>
      <x:c r="W46" s="3" t="str">
        <x:v>Research watch — licence diligence</x:v>
      </x:c>
      <x:c r="X46" s="3" t="str">
        <x:v>High on artifact; medium on legal reuse</x:v>
      </x:c>
      <x:c r="Y46" s="3" t="str">
        <x:v>https://github.com/princeton-nlp/LM-Science-Tutor</x:v>
      </x:c>
      <x:c r="Z46" s="3" t="str">
        <x:v>https://arxiv.org/abs/2402.11111</x:v>
      </x:c>
      <x:c r="AA46" s="9" t="n">
        <x:v>46268</x:v>
      </x:c>
      <x:c r="AB46" s="3" t="str">
        <x:v>Public repository; legal openness unresolved</x:v>
      </x:c>
      <x:c r="AC46" s="9" t="n">
        <x:v>46268</x:v>
      </x:c>
      <x:c r="AD46" s="3" t="str"/>
      <x:c r="AE46" s="11" t="n">
        <x:f>COUNTIF('Sources'!$A$6:$A$196,A46)</x:f>
        <x:v>2</x:v>
      </x:c>
    </x:row>
    <x:row r="47" ht="51" customHeight="1">
      <x:c r="A47" s="3" t="str">
        <x:v>P042</x:v>
      </x:c>
      <x:c r="B47" s="3" t="str">
        <x:v>MathTutorBench</x:v>
      </x:c>
      <x:c r="C47" s="3" t="str">
        <x:v>AI × education × open</x:v>
      </x:c>
      <x:c r="D47" s="3" t="str">
        <x:v>Open AI-tutor benchmark</x:v>
      </x:c>
      <x:c r="E47" s="3" t="str">
        <x:v>ETH Zurich / ETH AI Center collaborators</x:v>
      </x:c>
      <x:c r="F47" s="3" t="str">
        <x:v>Europe</x:v>
      </x:c>
      <x:c r="G47" s="3" t="str">
        <x:v>Switzerland / global research use</x:v>
      </x:c>
      <x:c r="H47" s="3" t="str">
        <x:v>Released at EMNLP 2025; active repository</x:v>
      </x:c>
      <x:c r="I47" s="3" t="str">
        <x:v>Model developers and tutoring researchers</x:v>
      </x:c>
      <x:c r="J47" s="3" t="str">
        <x:v>Seven-task benchmark across pedagogical skills plus scaffolding reward model</x:v>
      </x:c>
      <x:c r="K47" s="3" t="str">
        <x:v>None identified</x:v>
      </x:c>
      <x:c r="L47" s="3" t="str">
        <x:v>No</x:v>
      </x:c>
      <x:c r="M47" s="3" t="str">
        <x:v>Yes</x:v>
      </x:c>
      <x:c r="N47" s="3" t="str">
        <x:v>Code, task data and configurations public</x:v>
      </x:c>
      <x:c r="O47" s="3" t="str">
        <x:v>Open research release</x:v>
      </x:c>
      <x:c r="P47" s="3" t="str">
        <x:v>Repository states CC BY-SA 4.0; conventional licence file should be confirmed</x:v>
      </x:c>
      <x:c r="Q47" s="3" t="str">
        <x:v>Peer-reviewed technical benchmark</x:v>
      </x:c>
      <x:c r="R47" s="3" t="str">
        <x:v>Teacher-grounded, reproducible model evaluation; no learner-outcome validation and some model-as-judge dependence.</x:v>
      </x:c>
      <x:c r="S47" s="3" t="str">
        <x:v>Academic research and peer review</x:v>
      </x:c>
      <x:c r="T47" s="3" t="str">
        <x:v>Shared evaluation infrastructure for pedagogical quality</x:v>
      </x:c>
      <x:c r="U47" s="3" t="str">
        <x:v>Benchmark-focused; limited personal-data exposure</x:v>
      </x:c>
      <x:c r="V47" s="3" t="str">
        <x:v>Benchmark success may not predict live tutoring outcomes.</x:v>
      </x:c>
      <x:c r="W47" s="3" t="str">
        <x:v>Strong open evaluation candidate</x:v>
      </x:c>
      <x:c r="X47" s="3" t="str">
        <x:v>High on existence; lower on effects</x:v>
      </x:c>
      <x:c r="Y47" s="3" t="str">
        <x:v>https://github.com/eth-lre/mathtutorbench</x:v>
      </x:c>
      <x:c r="Z47" s="3" t="str">
        <x:v>https://aclanthology.org/2025.emnlp-main.11/</x:v>
      </x:c>
      <x:c r="AA47" s="9" t="n">
        <x:v>46268</x:v>
      </x:c>
      <x:c r="AB47" s="3" t="str">
        <x:v>Yes / public</x:v>
      </x:c>
      <x:c r="AC47" s="9" t="n">
        <x:v>46268</x:v>
      </x:c>
      <x:c r="AD47" s="3" t="str"/>
      <x:c r="AE47" s="11" t="n">
        <x:f>COUNTIF('Sources'!$A$6:$A$196,A47)</x:f>
        <x:v>2</x:v>
      </x:c>
    </x:row>
    <x:row r="48" ht="51" customHeight="1">
      <x:c r="A48" s="3" t="str">
        <x:v>P043</x:v>
      </x:c>
      <x:c r="B48" s="3" t="str">
        <x:v>TutorMoments-Preview</x:v>
      </x:c>
      <x:c r="C48" s="3" t="str">
        <x:v>AI × education × open</x:v>
      </x:c>
      <x:c r="D48" s="3" t="str">
        <x:v>Open naturalistic tutoring benchmark</x:v>
      </x:c>
      <x:c r="E48" s="3" t="str">
        <x:v>Ai2, University of Washington, MIT, Stanford and partners</x:v>
      </x:c>
      <x:c r="F48" s="3" t="str">
        <x:v>North America</x:v>
      </x:c>
      <x:c r="G48" s="3" t="str">
        <x:v>United States / global research use</x:v>
      </x:c>
      <x:c r="H48" s="3" t="str">
        <x:v>Preview released 2026</x:v>
      </x:c>
      <x:c r="I48" s="3" t="str">
        <x:v>AI model evaluators and tutoring researchers</x:v>
      </x:c>
      <x:c r="J48" s="3" t="str">
        <x:v>520 expert-identified tutoring moments, schemas, manifests and reproducible evaluations</x:v>
      </x:c>
      <x:c r="K48" s="3" t="str">
        <x:v>None identified</x:v>
      </x:c>
      <x:c r="L48" s="3" t="str">
        <x:v>No</x:v>
      </x:c>
      <x:c r="M48" s="3" t="str">
        <x:v>Yes</x:v>
      </x:c>
      <x:c r="N48" s="3" t="str">
        <x:v>Versioned dataset and configurations</x:v>
      </x:c>
      <x:c r="O48" s="3" t="str">
        <x:v>Open research release</x:v>
      </x:c>
      <x:c r="P48" s="3" t="str">
        <x:v>Apache-2.0 code; dataset terms documented on release</x:v>
      </x:c>
      <x:c r="Q48" s="3" t="str">
        <x:v>Expert-grounded technical benchmark</x:v>
      </x:c>
      <x:c r="R48" s="3" t="str">
        <x:v>Seven models tested against naturalistic teacher reference actions; simulated continuation is not learner-effect evidence.</x:v>
      </x:c>
      <x:c r="S48" s="3" t="str">
        <x:v>Multi-institution research collaboration with philanthropic support</x:v>
      </x:c>
      <x:c r="T48" s="3" t="str">
        <x:v>Transparent testing of scaffolding, rigor and over-helping</x:v>
      </x:c>
      <x:c r="U48" s="3" t="str">
        <x:v>Transcript provenance, selection and access controls remain material</x:v>
      </x:c>
      <x:c r="V48" s="3" t="str">
        <x:v>A preview dataset with limited coverage and no intervention outcomes.</x:v>
      </x:c>
      <x:c r="W48" s="3" t="str">
        <x:v>Strong open evaluation candidate</x:v>
      </x:c>
      <x:c r="X48" s="3" t="str">
        <x:v>High on existence; lower on effects</x:v>
      </x:c>
      <x:c r="Y48" s="3" t="str">
        <x:v>https://tutormoments.allen.ai/</x:v>
      </x:c>
      <x:c r="Z48" s="3" t="str">
        <x:v>https://github.com/allenai/tutormoments</x:v>
      </x:c>
      <x:c r="AA48" s="9" t="n">
        <x:v>46268</x:v>
      </x:c>
      <x:c r="AB48" s="3" t="str">
        <x:v>Yes</x:v>
      </x:c>
      <x:c r="AC48" s="9" t="n">
        <x:v>46268</x:v>
      </x:c>
      <x:c r="AD48" s="3" t="str"/>
      <x:c r="AE48" s="11" t="n">
        <x:f>COUNTIF('Sources'!$A$6:$A$196,A48)</x:f>
        <x:v>2</x:v>
      </x:c>
    </x:row>
    <x:row r="49" ht="38" customHeight="1">
      <x:c r="A49" s="3" t="str">
        <x:v>P044</x:v>
      </x:c>
      <x:c r="B49" s="3" t="str">
        <x:v>Open TutorAI Community Edition</x:v>
      </x:c>
      <x:c r="C49" s="3" t="str">
        <x:v>AI × education × open</x:v>
      </x:c>
      <x:c r="D49" s="3" t="str">
        <x:v>Open generative tutoring platform</x:v>
      </x:c>
      <x:c r="E49" s="3" t="str">
        <x:v>Open TutorAI team</x:v>
      </x:c>
      <x:c r="F49" s="3" t="str">
        <x:v>MENA</x:v>
      </x:c>
      <x:c r="G49" s="3" t="str">
        <x:v>Morocco-linked leadership; global orientation</x:v>
      </x:c>
      <x:c r="H49" s="3" t="str">
        <x:v>Experimental community edition; active 2024–26</x:v>
      </x:c>
      <x:c r="I49" s="3" t="str">
        <x:v>Learners, educators and self-hosting institutions</x:v>
      </x:c>
      <x:c r="J49" s="3" t="str">
        <x:v>RAG-based tutors, course assistants, voice/video and avatars</x:v>
      </x:c>
      <x:c r="K49" s="3" t="str">
        <x:v>None identified</x:v>
      </x:c>
      <x:c r="L49" s="3" t="str">
        <x:v>No</x:v>
      </x:c>
      <x:c r="M49" s="3" t="str">
        <x:v>Yes</x:v>
      </x:c>
      <x:c r="N49" s="3" t="str">
        <x:v>Course materials supplied by deployer; no shared curriculum corpus</x:v>
      </x:c>
      <x:c r="O49" s="3" t="str">
        <x:v>Open self-hosted plus separate enterprise offering</x:v>
      </x:c>
      <x:c r="P49" s="3" t="str">
        <x:v>BSD-3-Clause; external LLM/speech/avatar services may be proprietary</x:v>
      </x:c>
      <x:c r="Q49" s="3" t="str">
        <x:v>Architecture / early user evidence</x:v>
      </x:c>
      <x:c r="R49" s="3" t="str">
        <x:v>2026 paper describes architecture; robust classroom outcomes are not established.</x:v>
      </x:c>
      <x:c r="S49" s="3" t="str">
        <x:v>Independent project with community and enterprise boundary</x:v>
      </x:c>
      <x:c r="T49" s="3" t="str">
        <x:v>Self-hostable, adaptable tutor stack</x:v>
      </x:c>
      <x:c r="U49" s="3" t="str">
        <x:v>Highly dependent on chosen deployment and providers</x:v>
      </x:c>
      <x:c r="V49" s="3" t="str">
        <x:v>Open shell does not guarantee open models, content or low-risk operation.</x:v>
      </x:c>
      <x:c r="W49" s="3" t="str">
        <x:v>Emerging open product</x:v>
      </x:c>
      <x:c r="X49" s="3" t="str">
        <x:v>High on existence; lower on effects</x:v>
      </x:c>
      <x:c r="Y49" s="3" t="str">
        <x:v>https://github.com/Open-TutorAi/open-tutor-ai-CE</x:v>
      </x:c>
      <x:c r="Z49" s="3" t="str">
        <x:v>https://arxiv.org/abs/2602.07176</x:v>
      </x:c>
      <x:c r="AA49" s="9" t="n">
        <x:v>46268</x:v>
      </x:c>
      <x:c r="AB49" s="3" t="str">
        <x:v>Yes — community edition</x:v>
      </x:c>
      <x:c r="AC49" s="9" t="n">
        <x:v>46268</x:v>
      </x:c>
      <x:c r="AD49" s="3" t="str"/>
      <x:c r="AE49" s="11" t="n">
        <x:f>COUNTIF('Sources'!$A$6:$A$196,A49)</x:f>
        <x:v>2</x:v>
      </x:c>
    </x:row>
    <x:row r="50" ht="51" customHeight="1">
      <x:c r="A50" s="3" t="str">
        <x:v>P045</x:v>
      </x:c>
      <x:c r="B50" s="3" t="str">
        <x:v>X5GON</x:v>
      </x:c>
      <x:c r="C50" s="3" t="str">
        <x:v>AI × education × open</x:v>
      </x:c>
      <x:c r="D50" s="3" t="str">
        <x:v>AI-powered OER discovery infrastructure</x:v>
      </x:c>
      <x:c r="E50" s="3" t="str">
        <x:v>EU Horizon 2020 consortium</x:v>
      </x:c>
      <x:c r="F50" s="3" t="str">
        <x:v>Europe</x:v>
      </x:c>
      <x:c r="G50" s="3" t="str">
        <x:v>Europe with global OER reach</x:v>
      </x:c>
      <x:c r="H50" s="3" t="str">
        <x:v>Completed 2017–20; uneven maintenance</x:v>
      </x:c>
      <x:c r="I50" s="3" t="str">
        <x:v>Learners, educators, repositories and researchers</x:v>
      </x:c>
      <x:c r="J50" s="3" t="str">
        <x:v>Cross-site/cross-language OER classification, translation, linking, recommendation and analytics</x:v>
      </x:c>
      <x:c r="K50" s="3" t="str">
        <x:v>OER metadata, public APIs and linked services</x:v>
      </x:c>
      <x:c r="L50" s="3" t="str">
        <x:v>Partial</x:v>
      </x:c>
      <x:c r="M50" s="3" t="str">
        <x:v>Partial / unresolved</x:v>
      </x:c>
      <x:c r="N50" s="3" t="str">
        <x:v>OER-derived and public repositories; licences vary</x:v>
      </x:c>
      <x:c r="O50" s="3" t="str">
        <x:v>Public research infrastructure; some services legacy</x:v>
      </x:c>
      <x:c r="P50" s="3" t="str">
        <x:v>Mixed; some repositories lack clear declarations</x:v>
      </x:c>
      <x:c r="Q50" s="3" t="str">
        <x:v>Peer-reviewed / technical evaluation</x:v>
      </x:c>
      <x:c r="R50" s="3" t="str">
        <x:v>EU reporting, technical publications and pilots; little causal learning evidence.</x:v>
      </x:c>
      <x:c r="S50" s="3" t="str">
        <x:v>Publicly funded multi-country research consortium</x:v>
      </x:c>
      <x:c r="T50" s="3" t="str">
        <x:v>Cross-language access and OER discovery</x:v>
      </x:c>
      <x:c r="U50" s="3" t="str">
        <x:v>Recommendation and analytics can track users; current controls unclear</x:v>
      </x:c>
      <x:c r="V50" s="3" t="str">
        <x:v>Completed project with unclear service sustainability.</x:v>
      </x:c>
      <x:c r="W50" s="3" t="str">
        <x:v>Foundational explicit-intersection precedent</x:v>
      </x:c>
      <x:c r="X50" s="3" t="str">
        <x:v>High on existence; lower on effects</x:v>
      </x:c>
      <x:c r="Y50" s="3" t="str">
        <x:v>https://cordis.europa.eu/project/id/761758</x:v>
      </x:c>
      <x:c r="Z50" s="3" t="str">
        <x:v>https://github.com/X5GON</x:v>
      </x:c>
      <x:c r="AA50" s="9" t="n">
        <x:v>46268</x:v>
      </x:c>
      <x:c r="AB50" s="3" t="str">
        <x:v>Partial / repository-specific</x:v>
      </x:c>
      <x:c r="AC50" s="9" t="n">
        <x:v>46268</x:v>
      </x:c>
      <x:c r="AD50" s="3" t="str"/>
      <x:c r="AE50" s="11" t="n">
        <x:f>COUNTIF('Sources'!$A$6:$A$196,A50)</x:f>
        <x:v>2</x:v>
      </x:c>
    </x:row>
    <x:row r="51" ht="38" customHeight="1">
      <x:c r="A51" s="3" t="str">
        <x:v>P046</x:v>
      </x:c>
      <x:c r="B51" s="3" t="str">
        <x:v>OpenEduHub / WirLernenOnline / ITs.JOINTLY</x:v>
      </x:c>
      <x:c r="C51" s="3" t="str">
        <x:v>AI × education × open</x:v>
      </x:c>
      <x:c r="D51" s="3" t="str">
        <x:v>OER aggregation and AI metadata</x:v>
      </x:c>
      <x:c r="E51" s="3" t="str">
        <x:v>edu-sharing network and German education partners</x:v>
      </x:c>
      <x:c r="F51" s="3" t="str">
        <x:v>Europe</x:v>
      </x:c>
      <x:c r="G51" s="3" t="str">
        <x:v>Germany</x:v>
      </x:c>
      <x:c r="H51" s="3" t="str">
        <x:v>Operational ecosystem; AI metadata work since 2020</x:v>
      </x:c>
      <x:c r="I51" s="3" t="str">
        <x:v>Teachers, OER editors, repositories and developers</x:v>
      </x:c>
      <x:c r="J51" s="3" t="str">
        <x:v>AI-assisted metadata, quality support, curriculum alignment, search services and plugins</x:v>
      </x:c>
      <x:c r="K51" s="3" t="str">
        <x:v>Structured metadata/APIs; interoperability across OER systems</x:v>
      </x:c>
      <x:c r="L51" s="3" t="str">
        <x:v>Partial</x:v>
      </x:c>
      <x:c r="M51" s="3" t="str">
        <x:v>Yes</x:v>
      </x:c>
      <x:c r="N51" s="3" t="str">
        <x:v>Large OER metadata/resource aggregation</x:v>
      </x:c>
      <x:c r="O51" s="3" t="str">
        <x:v>Public/open services</x:v>
      </x:c>
      <x:c r="P51" s="3" t="str">
        <x:v>Varies by code component and source content</x:v>
      </x:c>
      <x:c r="Q51" s="3" t="str">
        <x:v>Technical / adoption evidence</x:v>
      </x:c>
      <x:c r="R51" s="3" t="str">
        <x:v>Large machine-readable resource counts reported; independent outcome evidence is thin.</x:v>
      </x:c>
      <x:c r="S51" s="3" t="str">
        <x:v>Public-interest network with human editorial teams</x:v>
      </x:c>
      <x:c r="T51" s="3" t="str">
        <x:v>Open-by-default resource discovery and curriculum alignment</x:v>
      </x:c>
      <x:c r="U51" s="3" t="str">
        <x:v>Mostly content/metadata processing; usage analytics still relevant</x:v>
      </x:c>
      <x:c r="V51" s="3" t="str">
        <x:v>Aggregate counts and licence consistency need independent audit.</x:v>
      </x:c>
      <x:c r="W51" s="3" t="str">
        <x:v>Strong OER–AI infrastructure candidate</x:v>
      </x:c>
      <x:c r="X51" s="3" t="str">
        <x:v>High on existence; lower on effects</x:v>
      </x:c>
      <x:c r="Y51" s="3" t="str">
        <x:v>https://edu-sharing-network.org/</x:v>
      </x:c>
      <x:c r="Z51" s="3" t="str">
        <x:v>https://github.com/openeduhub</x:v>
      </x:c>
      <x:c r="AA51" s="9" t="n">
        <x:v>46268</x:v>
      </x:c>
      <x:c r="AB51" s="3" t="str">
        <x:v>Yes / component-specific</x:v>
      </x:c>
      <x:c r="AC51" s="9" t="n">
        <x:v>46268</x:v>
      </x:c>
      <x:c r="AD51" s="3" t="str"/>
      <x:c r="AE51" s="11" t="n">
        <x:f>COUNTIF('Sources'!$A$6:$A$196,A51)</x:f>
        <x:v>2</x:v>
      </x:c>
    </x:row>
    <x:row r="52" ht="51" customHeight="1">
      <x:c r="A52" s="3" t="str">
        <x:v>P047</x:v>
      </x:c>
      <x:c r="B52" s="3" t="str">
        <x:v>K–12 AI Infrastructure Program</x:v>
      </x:c>
      <x:c r="C52" s="3" t="str">
        <x:v>AI × education × open</x:v>
      </x:c>
      <x:c r="D52" s="3" t="str">
        <x:v>Open data, model and benchmark grant portfolio</x:v>
      </x:c>
      <x:c r="E52" s="3" t="str">
        <x:v>Digital Promise with Learning Data Insights, DrivenData, Georgetown MDI and Catalyst@Penn GSE</x:v>
      </x:c>
      <x:c r="F52" s="3" t="str">
        <x:v>North America</x:v>
      </x:c>
      <x:c r="G52" s="3" t="str">
        <x:v>United States with reusable outputs</x:v>
      </x:c>
      <x:c r="H52" s="3" t="str">
        <x:v>Active grant portfolio announced 2025–26</x:v>
      </x:c>
      <x:c r="I52" s="3" t="str">
        <x:v>K–12 developers, researchers, educators and underserved learners</x:v>
      </x:c>
      <x:c r="J52" s="3" t="str">
        <x:v>Openly licensed formative-assessment datasets, benchmarks, models and shared infrastructure</x:v>
      </x:c>
      <x:c r="K52" s="3" t="str">
        <x:v>Open licences and reusable technical artifacts; formal education-standard alignment varies</x:v>
      </x:c>
      <x:c r="L52" s="3" t="str">
        <x:v>Planned / project-specific</x:v>
      </x:c>
      <x:c r="M52" s="3" t="str">
        <x:v>No / unclear</x:v>
      </x:c>
      <x:c r="N52" s="3" t="str">
        <x:v>Planned open datasets/benchmarks</x:v>
      </x:c>
      <x:c r="O52" s="3" t="str">
        <x:v>Public outputs when delivered</x:v>
      </x:c>
      <x:c r="P52" s="3" t="str">
        <x:v>Programme requires openly licensed deliverables; verify each grant</x:v>
      </x:c>
      <x:c r="Q52" s="3" t="str">
        <x:v>Pre-output / no evaluation</x:v>
      </x:c>
      <x:c r="R52" s="3" t="str">
        <x:v>Credible selection criteria and funding, but most assets and impacts were not yet delivered at cutoff.</x:v>
      </x:c>
      <x:c r="S52" s="3" t="str">
        <x:v>Multi-organisation programme with philanthropic funding and privacy/equity criteria</x:v>
      </x:c>
      <x:c r="T52" s="3" t="str">
        <x:v>Student agency, privacy and underserved populations are explicit</x:v>
      </x:c>
      <x:c r="U52" s="3" t="str">
        <x:v>Sensitive K–12 data; de-identification and access governance are central</x:v>
      </x:c>
      <x:c r="V52" s="3" t="str">
        <x:v>Treat as an investment signal, not delivered infrastructure.</x:v>
      </x:c>
      <x:c r="W52" s="3" t="str">
        <x:v>High-priority emerging ecosystem</x:v>
      </x:c>
      <x:c r="X52" s="3" t="str">
        <x:v>High on existence; lower on effects</x:v>
      </x:c>
      <x:c r="Y52" s="3" t="str">
        <x:v>https://k12-ai-infrastructure.org/</x:v>
      </x:c>
      <x:c r="Z52" s="3" t="str">
        <x:v>https://digitalpromise.org/2026/06/29/digital-promise-announces-first-grantees-of-the-k-12-ai-infrastructure-program/</x:v>
      </x:c>
      <x:c r="AA52" s="9" t="n">
        <x:v>46268</x:v>
      </x:c>
      <x:c r="AB52" s="3" t="str">
        <x:v>Planned</x:v>
      </x:c>
      <x:c r="AC52" s="9" t="n">
        <x:v>46268</x:v>
      </x:c>
      <x:c r="AD52" s="3" t="str"/>
      <x:c r="AE52" s="11" t="n">
        <x:f>COUNTIF('Sources'!$A$6:$A$196,A52)</x:f>
        <x:v>2</x:v>
      </x:c>
    </x:row>
    <x:row r="53" ht="51" customHeight="1">
      <x:c r="A53" s="3" t="str">
        <x:v>P048</x:v>
      </x:c>
      <x:c r="B53" s="3" t="str">
        <x:v>EDU AI — Open Source AI Model for Tutoring RFP</x:v>
      </x:c>
      <x:c r="C53" s="3" t="str">
        <x:v>AI × education × open</x:v>
      </x:c>
      <x:c r="D53" s="3" t="str">
        <x:v>Open education-model procurement</x:v>
      </x:c>
      <x:c r="E53" s="3" t="str">
        <x:v>Digital Promise / K–12 AI Infrastructure Program; Gates Foundation-funded</x:v>
      </x:c>
      <x:c r="F53" s="3" t="str">
        <x:v>North America</x:v>
      </x:c>
      <x:c r="G53" s="3" t="str">
        <x:v>United States with intended broad reuse</x:v>
      </x:c>
      <x:c r="H53" s="3" t="str">
        <x:v>RFP closed July 2026; award anticipated late 2026</x:v>
      </x:c>
      <x:c r="I53" s="3" t="str">
        <x:v>K–12 AI developers, researchers and learners</x:v>
      </x:c>
      <x:c r="J53" s="3" t="str">
        <x:v>Planned open model weights, training/preprocessing code, model cards, evaluations, API and reference app</x:v>
      </x:c>
      <x:c r="K53" s="3" t="str">
        <x:v>Open API/reference implementation requirements</x:v>
      </x:c>
      <x:c r="L53" s="3" t="str">
        <x:v>Planned</x:v>
      </x:c>
      <x:c r="M53" s="3" t="str">
        <x:v>No / unclear</x:v>
      </x:c>
      <x:c r="N53" s="3" t="str">
        <x:v>Required reusable data/content and evaluation assets</x:v>
      </x:c>
      <x:c r="O53" s="3" t="str">
        <x:v>Planned open release</x:v>
      </x:c>
      <x:c r="P53" s="3" t="str">
        <x:v>Minimum Apache-2.0 and CC BY 4.0 requirements</x:v>
      </x:c>
      <x:c r="Q53" s="3" t="str">
        <x:v>Pre-award / no output</x:v>
      </x:c>
      <x:c r="R53" s="3" t="str">
        <x:v>Unusually explicit openness, subgroup and privacy requirements; no awarded/delivered system at cutoff.</x:v>
      </x:c>
      <x:c r="S53" s="3" t="str">
        <x:v>Public-interest programme with up to $8m planned award</x:v>
      </x:c>
      <x:c r="T53" s="3" t="str">
        <x:v>Open tutoring model and shared infrastructure</x:v>
      </x:c>
      <x:c r="U53" s="3" t="str">
        <x:v>FERPA/COPPA, de-identification and subgroup analysis required</x:v>
      </x:c>
      <x:c r="V53" s="3" t="str">
        <x:v>A procurement promise, not a project result.</x:v>
      </x:c>
      <x:c r="W53" s="3" t="str">
        <x:v>Watch closely</x:v>
      </x:c>
      <x:c r="X53" s="3" t="str">
        <x:v>High on existence; lower on effects</x:v>
      </x:c>
      <x:c r="Y53" s="3" t="str">
        <x:v>https://k12-ai-infrastructure.org/edu-ai-rfp/</x:v>
      </x:c>
      <x:c r="Z53" s="3" t="str">
        <x:v>https://www.gatesfoundation.org/about/committed-grants/2025/12/inv-086095</x:v>
      </x:c>
      <x:c r="AA53" s="9" t="n">
        <x:v>46268</x:v>
      </x:c>
      <x:c r="AB53" s="3" t="str">
        <x:v>Required by RFP</x:v>
      </x:c>
      <x:c r="AC53" s="9" t="n">
        <x:v>46268</x:v>
      </x:c>
      <x:c r="AD53" s="3" t="str"/>
      <x:c r="AE53" s="11" t="n">
        <x:f>COUNTIF('Sources'!$A$6:$A$196,A53)</x:f>
        <x:v>2</x:v>
      </x:c>
    </x:row>
    <x:row r="54" ht="38" customHeight="1">
      <x:c r="A54" s="3" t="str">
        <x:v>P049</x:v>
      </x:c>
      <x:c r="B54" s="3" t="str">
        <x:v>National Tutoring Observatory / Million Tutor Moves</x:v>
      </x:c>
      <x:c r="C54" s="3" t="str">
        <x:v>AI × education × open</x:v>
      </x:c>
      <x:c r="D54" s="3" t="str">
        <x:v>Tutoring data and research infrastructure</x:v>
      </x:c>
      <x:c r="E54" s="3" t="str">
        <x:v>Multi-institution research initiative</x:v>
      </x:c>
      <x:c r="F54" s="3" t="str">
        <x:v>North America</x:v>
      </x:c>
      <x:c r="G54" s="3" t="str">
        <x:v>United States</x:v>
      </x:c>
      <x:c r="H54" s="3" t="str">
        <x:v>Infrastructure in development</x:v>
      </x:c>
      <x:c r="I54" s="3" t="str">
        <x:v>Tutoring researchers, developers and programmes</x:v>
      </x:c>
      <x:c r="J54" s="3" t="str">
        <x:v>Large multimodal tutoring corpus, de-identification, annotation and processing tools</x:v>
      </x:c>
      <x:c r="K54" s="3" t="str">
        <x:v>None identified</x:v>
      </x:c>
      <x:c r="L54" s="3" t="str">
        <x:v>Partial schemas/tooling</x:v>
      </x:c>
      <x:c r="M54" s="3" t="str">
        <x:v>Partial / unresolved</x:v>
      </x:c>
      <x:c r="N54" s="3" t="str">
        <x:v>Access to child transcripts/video will necessarily be controlled</x:v>
      </x:c>
      <x:c r="O54" s="3" t="str">
        <x:v>Research access model evolving</x:v>
      </x:c>
      <x:c r="P54" s="3" t="str">
        <x:v>Baseline repository lacks a clearly detected licence</x:v>
      </x:c>
      <x:c r="Q54" s="3" t="str">
        <x:v>Technical / early implementation</x:v>
      </x:c>
      <x:c r="R54" s="3" t="str">
        <x:v>Ambitious data infrastructure with early tools; no programme-level learner impact yet.</x:v>
      </x:c>
      <x:c r="S54" s="3" t="str">
        <x:v>NSF, Gates and CZI/Learning Commons-linked support; attribution varies across pages</x:v>
      </x:c>
      <x:c r="T54" s="3" t="str">
        <x:v>Shared science of tutoring and underserved-community mission</x:v>
      </x:c>
      <x:c r="U54" s="3" t="str">
        <x:v>Consent, de-identification, access tiers and voice/video governance are decisive</x:v>
      </x:c>
      <x:c r="V54" s="3" t="str">
        <x:v>‘Open’ should mean reproducible/controlled, not unrestricted raw child data.</x:v>
      </x:c>
      <x:c r="W54" s="3" t="str">
        <x:v>High-priority data-governance case</x:v>
      </x:c>
      <x:c r="X54" s="3" t="str">
        <x:v>High on existence; lower on effects</x:v>
      </x:c>
      <x:c r="Y54" s="3" t="str">
        <x:v>https://nationaltutoringobservatory.org/</x:v>
      </x:c>
      <x:c r="Z54" s="3" t="str">
        <x:v>https://github.com/National-Tutoring-Observatory/Baseline_Performance_Pipeline</x:v>
      </x:c>
      <x:c r="AA54" s="9" t="n">
        <x:v>46268</x:v>
      </x:c>
      <x:c r="AB54" s="3" t="str">
        <x:v>Public modular tooling; licence gaps remain</x:v>
      </x:c>
      <x:c r="AC54" s="9" t="n">
        <x:v>46268</x:v>
      </x:c>
      <x:c r="AD54" s="3" t="str"/>
      <x:c r="AE54" s="11" t="n">
        <x:f>COUNTIF('Sources'!$A$6:$A$196,A54)</x:f>
        <x:v>2</x:v>
      </x:c>
    </x:row>
    <x:row r="55" ht="38" customHeight="1">
      <x:c r="A55" s="3" t="str">
        <x:v>P050</x:v>
      </x:c>
      <x:c r="B55" s="3" t="str">
        <x:v>DrawEduMath</x:v>
      </x:c>
      <x:c r="C55" s="3" t="str">
        <x:v>AI × education × open</x:v>
      </x:c>
      <x:c r="D55" s="3" t="str">
        <x:v>Open multimodal benchmark</x:v>
      </x:c>
      <x:c r="E55" s="3" t="str">
        <x:v>Ai2, Worcester Polytechnic Institute and collaborators</x:v>
      </x:c>
      <x:c r="F55" s="3" t="str">
        <x:v>North America</x:v>
      </x:c>
      <x:c r="G55" s="3" t="str">
        <x:v>United States / global research use</x:v>
      </x:c>
      <x:c r="H55" s="3" t="str">
        <x:v>Released 2025</x:v>
      </x:c>
      <x:c r="I55" s="3" t="str">
        <x:v>Vision-language model and assessment researchers</x:v>
      </x:c>
      <x:c r="J55" s="3" t="str">
        <x:v>Expert-annotated student hand-drawn mathematics images and benchmark tasks</x:v>
      </x:c>
      <x:c r="K55" s="3" t="str">
        <x:v>None identified</x:v>
      </x:c>
      <x:c r="L55" s="3" t="str">
        <x:v>No</x:v>
      </x:c>
      <x:c r="M55" s="3" t="str">
        <x:v>Partial / unresolved</x:v>
      </x:c>
      <x:c r="N55" s="3" t="str">
        <x:v>Project states CC BY-SA 4.0; coverage of underlying images needs confirmation</x:v>
      </x:c>
      <x:c r="O55" s="3" t="str">
        <x:v>Public research release</x:v>
      </x:c>
      <x:c r="P55" s="3" t="str">
        <x:v>CC BY-SA claim; audit dataset-level terms</x:v>
      </x:c>
      <x:c r="Q55" s="3" t="str">
        <x:v>Peer-reviewed technical benchmark</x:v>
      </x:c>
      <x:c r="R55" s="3" t="str">
        <x:v>NAACL 2025 Outstanding Paper; evaluates model perception, not learner outcomes.</x:v>
      </x:c>
      <x:c r="S55" s="3" t="str">
        <x:v>Academic/nonprofit research collaboration</x:v>
      </x:c>
      <x:c r="T55" s="3" t="str">
        <x:v>Shared evaluation on authentic student work</x:v>
      </x:c>
      <x:c r="U55" s="3" t="str">
        <x:v>Consent and de-identification provenance for student images require audit</x:v>
      </x:c>
      <x:c r="V55" s="3" t="str">
        <x:v>Site licensing may not automatically cover every source image.</x:v>
      </x:c>
      <x:c r="W55" s="3" t="str">
        <x:v>Strong open benchmark</x:v>
      </x:c>
      <x:c r="X55" s="3" t="str">
        <x:v>High on existence; lower on effects</x:v>
      </x:c>
      <x:c r="Y55" s="3" t="str">
        <x:v>https://drawedumath.org/</x:v>
      </x:c>
      <x:c r="Z55" s="3" t="str">
        <x:v>https://arxiv.org/abs/2501.14877</x:v>
      </x:c>
      <x:c r="AA55" s="9" t="n">
        <x:v>46268</x:v>
      </x:c>
      <x:c r="AB55" s="3" t="str">
        <x:v>Public resources</x:v>
      </x:c>
      <x:c r="AC55" s="9" t="n">
        <x:v>46268</x:v>
      </x:c>
      <x:c r="AD55" s="3" t="str"/>
      <x:c r="AE55" s="11" t="n">
        <x:f>COUNTIF('Sources'!$A$6:$A$196,A55)</x:f>
        <x:v>2</x:v>
      </x:c>
    </x:row>
    <x:row r="56" ht="51" customHeight="1">
      <x:c r="A56" s="3" t="str">
        <x:v>P051</x:v>
      </x:c>
      <x:c r="B56" s="3" t="str">
        <x:v>BHASHINI / ULCA</x:v>
      </x:c>
      <x:c r="C56" s="3" t="str">
        <x:v>AI × education × open</x:v>
      </x:c>
      <x:c r="D56" s="3" t="str">
        <x:v>Public language-AI infrastructure</x:v>
      </x:c>
      <x:c r="E56" s="3" t="str">
        <x:v>Digital India BHASHINI Division / MeitY</x:v>
      </x:c>
      <x:c r="F56" s="3" t="str">
        <x:v>Asia</x:v>
      </x:c>
      <x:c r="G56" s="3" t="str">
        <x:v>India</x:v>
      </x:c>
      <x:c r="H56" s="3" t="str">
        <x:v>Active national mission from 2022</x:v>
      </x:c>
      <x:c r="I56" s="3" t="str">
        <x:v>Public-service developers, including education platforms such as DIKSHA</x:v>
      </x:c>
      <x:c r="J56" s="3" t="str">
        <x:v>Speech recognition/synthesis, translation and OCR APIs plus contribution/data platform</x:v>
      </x:c>
      <x:c r="K56" s="3" t="str">
        <x:v>Universal Language Contribution APIs (ULCA); public APIs</x:v>
      </x:c>
      <x:c r="L56" s="3" t="str">
        <x:v>Yes / public APIs</x:v>
      </x:c>
      <x:c r="M56" s="3" t="str">
        <x:v>Yes</x:v>
      </x:c>
      <x:c r="N56" s="3" t="str">
        <x:v>Datasets/models have heterogeneous terms</x:v>
      </x:c>
      <x:c r="O56" s="3" t="str">
        <x:v>Public infrastructure; service conditions vary</x:v>
      </x:c>
      <x:c r="P56" s="3" t="str">
        <x:v>ULCA and several tools MIT; audit each dataset/model</x:v>
      </x:c>
      <x:c r="Q56" s="3" t="str">
        <x:v>Technical / adoption evidence</x:v>
      </x:c>
      <x:c r="R56" s="3" t="str">
        <x:v>National infrastructure and integrations are credible; educational outcome and subgroup-quality evidence is sparse.</x:v>
      </x:c>
      <x:c r="S56" s="3" t="str">
        <x:v>Government digital-public-infrastructure mission</x:v>
      </x:c>
      <x:c r="T56" s="3" t="str">
        <x:v>Linguistic inclusion and local-language access</x:v>
      </x:c>
      <x:c r="U56" s="3" t="str">
        <x:v>Voice/text collection, consent and downstream deployment controls matter</x:v>
      </x:c>
      <x:c r="V56" s="3" t="str">
        <x:v>Open tooling does not make every model or dataset open.</x:v>
      </x:c>
      <x:c r="W56" s="3" t="str">
        <x:v>Strong multilingual DPI candidate</x:v>
      </x:c>
      <x:c r="X56" s="3" t="str">
        <x:v>High on existence; lower on effects</x:v>
      </x:c>
      <x:c r="Y56" s="3" t="str">
        <x:v>https://www.pib.gov.in/PressReleasePage.aspx?PRID=2039811</x:v>
      </x:c>
      <x:c r="Z56" s="3" t="str">
        <x:v>https://github.com/bhashini-dibd</x:v>
      </x:c>
      <x:c r="AA56" s="9" t="n">
        <x:v>46268</x:v>
      </x:c>
      <x:c r="AB56" s="3" t="str">
        <x:v>Yes — several components</x:v>
      </x:c>
      <x:c r="AC56" s="9" t="n">
        <x:v>46268</x:v>
      </x:c>
      <x:c r="AD56" s="3" t="str"/>
      <x:c r="AE56" s="11" t="n">
        <x:f>COUNTIF('Sources'!$A$6:$A$196,A56)</x:f>
        <x:v>2</x:v>
      </x:c>
    </x:row>
    <x:row r="57" ht="38" customHeight="1">
      <x:c r="A57" s="3" t="str">
        <x:v>P052</x:v>
      </x:c>
      <x:c r="B57" s="3" t="str">
        <x:v>Moodle AI Subsystem</x:v>
      </x:c>
      <x:c r="C57" s="3" t="str">
        <x:v>AI × education × open</x:v>
      </x:c>
      <x:c r="D57" s="3" t="str">
        <x:v>Open LMS AI integration architecture</x:v>
      </x:c>
      <x:c r="E57" s="3" t="str">
        <x:v>Moodle HQ and community</x:v>
      </x:c>
      <x:c r="F57" s="3" t="str">
        <x:v>Global</x:v>
      </x:c>
      <x:c r="G57" s="3" t="str">
        <x:v>Global</x:v>
      </x:c>
      <x:c r="H57" s="3" t="str">
        <x:v>Production core since Moodle 4.5</x:v>
      </x:c>
      <x:c r="I57" s="3" t="str">
        <x:v>LMS administrators, plugin developers, teachers and learners</x:v>
      </x:c>
      <x:c r="J57" s="3" t="str">
        <x:v>Provider-neutral layer separating AI placements, actions and provider plugins</x:v>
      </x:c>
      <x:c r="K57" s="3" t="str">
        <x:v>Moodle supports LTI/xAPI; AI subsystem is an internal API, not a cross-vendor standard</x:v>
      </x:c>
      <x:c r="L57" s="3" t="str">
        <x:v>Public developer API</x:v>
      </x:c>
      <x:c r="M57" s="3" t="str">
        <x:v>Yes</x:v>
      </x:c>
      <x:c r="N57" s="3" t="str">
        <x:v>N/A; depends on course/provider</x:v>
      </x:c>
      <x:c r="O57" s="3" t="str">
        <x:v>Open self-hosted; managed hosting available</x:v>
      </x:c>
      <x:c r="P57" s="3" t="str">
        <x:v>Moodle GPLv3; AI providers have separate terms</x:v>
      </x:c>
      <x:c r="Q57" s="3" t="str">
        <x:v>Architecture / adoption evidence</x:v>
      </x:c>
      <x:c r="R57" s="3" t="str">
        <x:v>Mature platform engineering; no learning-effect evaluation located for the subsystem.</x:v>
      </x:c>
      <x:c r="S57" s="3" t="str">
        <x:v>Large open-source community and Moodle HQ roadmap</x:v>
      </x:c>
      <x:c r="T57" s="3" t="str">
        <x:v>Admin choice, self-hosting and provider flexibility</x:v>
      </x:c>
      <x:c r="U57" s="3" t="str">
        <x:v>Cost, data flows and safety vary sharply by provider/configuration</x:v>
      </x:c>
      <x:c r="V57" s="3" t="str">
        <x:v>Provider neutrality is valuable but does not itself guarantee portability or safety.</x:v>
      </x:c>
      <x:c r="W57" s="3" t="str">
        <x:v>Strong open-platform intersection</x:v>
      </x:c>
      <x:c r="X57" s="3" t="str">
        <x:v>High on existence; lower on effects</x:v>
      </x:c>
      <x:c r="Y57" s="3" t="str">
        <x:v>https://moodledev.io/docs/4.5/apis/subsystems/ai</x:v>
      </x:c>
      <x:c r="Z57" s="3" t="str">
        <x:v>https://docs.moodle.org/en/AI_tools</x:v>
      </x:c>
      <x:c r="AA57" s="9" t="n">
        <x:v>46268</x:v>
      </x:c>
      <x:c r="AB57" s="3" t="str">
        <x:v>Yes</x:v>
      </x:c>
      <x:c r="AC57" s="9" t="n">
        <x:v>46268</x:v>
      </x:c>
      <x:c r="AD57" s="3" t="str"/>
      <x:c r="AE57" s="11" t="n">
        <x:f>COUNTIF('Sources'!$A$6:$A$196,A57)</x:f>
        <x:v>2</x:v>
      </x:c>
    </x:row>
    <x:row r="58" ht="51" customHeight="1">
      <x:c r="A58" s="3" t="str">
        <x:v>P053</x:v>
      </x:c>
      <x:c r="B58" s="3" t="str">
        <x:v>ASSISTments + AIDA</x:v>
      </x:c>
      <x:c r="C58" s="3" t="str">
        <x:v>AI × education × open</x:v>
      </x:c>
      <x:c r="D58" s="3" t="str">
        <x:v>Research-backed mathematics platform with GenAI feature</x:v>
      </x:c>
      <x:c r="E58" s="3" t="str">
        <x:v>ASSISTments Foundation and Worcester Polytechnic Institute</x:v>
      </x:c>
      <x:c r="F58" s="3" t="str">
        <x:v>North America</x:v>
      </x:c>
      <x:c r="G58" s="3" t="str">
        <x:v>United States</x:v>
      </x:c>
      <x:c r="H58" s="3" t="str">
        <x:v>Mature platform; AIDA feature emerging</x:v>
      </x:c>
      <x:c r="I58" s="3" t="str">
        <x:v>Mathematics teachers, pupils and researchers</x:v>
      </x:c>
      <x:c r="J58" s="3" t="str">
        <x:v>Standards-aligned problem system, experimentation infrastructure and GenAI assignment-report summaries</x:v>
      </x:c>
      <x:c r="K58" s="3" t="str">
        <x:v>School/LMS integrations; research infrastructure</x:v>
      </x:c>
      <x:c r="L58" s="3" t="str">
        <x:v>Partial</x:v>
      </x:c>
      <x:c r="M58" s="3" t="str">
        <x:v>No / unclear</x:v>
      </x:c>
      <x:c r="N58" s="3" t="str">
        <x:v>Open-curriculum integrations; licences vary across content</x:v>
      </x:c>
      <x:c r="O58" s="3" t="str">
        <x:v>Free to schools</x:v>
      </x:c>
      <x:c r="P58" s="3" t="str">
        <x:v>Free access is clearer than code/content openness</x:v>
      </x:c>
      <x:c r="Q58" s="3" t="str">
        <x:v>Causal evidence for core platform; early evidence for AI feature</x:v>
      </x:c>
      <x:c r="R58" s="3" t="str">
        <x:v>Core ASSISTments has strong RCT and research-infrastructure evidence; AIDA itself is not equivalently validated.</x:v>
      </x:c>
      <x:c r="S58" s="3" t="str">
        <x:v>Nonprofit/university with IES-supported research infrastructure</x:v>
      </x:c>
      <x:c r="T58" s="3" t="str">
        <x:v>Free school access and reproducible education research</x:v>
      </x:c>
      <x:c r="U58" s="3" t="str">
        <x:v>Substantial student-data and school integration responsibilities</x:v>
      </x:c>
      <x:c r="V58" s="3" t="str">
        <x:v>Separate evidence for the established platform from the new AI feature.</x:v>
      </x:c>
      <x:c r="W58" s="3" t="str">
        <x:v>Evidence-rich boundary candidate</x:v>
      </x:c>
      <x:c r="X58" s="3" t="str">
        <x:v>High on existence; lower on effects</x:v>
      </x:c>
      <x:c r="Y58" s="3" t="str">
        <x:v>https://www.assistments.org/</x:v>
      </x:c>
      <x:c r="Z58" s="3" t="str">
        <x:v>https://ies.ed.gov/use-work/awards/revisions-assistments-digital-learning-platform-expand-its-support-rigorous-education-research</x:v>
      </x:c>
      <x:c r="AA58" s="9" t="n">
        <x:v>46268</x:v>
      </x:c>
      <x:c r="AB58" s="3" t="str">
        <x:v>Unclear / mixed</x:v>
      </x:c>
      <x:c r="AC58" s="9" t="n">
        <x:v>46268</x:v>
      </x:c>
      <x:c r="AD58" s="3" t="str">
        <x:v>ASSISTments core evidence does not validate AIDA; source attribution varies across reports (document 10).</x:v>
      </x:c>
      <x:c r="AE58" s="11" t="n">
        <x:f>COUNTIF('Sources'!$A$6:$A$196,A58)</x:f>
        <x:v>2</x:v>
      </x:c>
    </x:row>
    <x:row r="59" ht="38" customHeight="1">
      <x:c r="A59" s="3" t="str">
        <x:v>P054</x:v>
      </x:c>
      <x:c r="B59" s="3" t="str">
        <x:v>EduChat</x:v>
      </x:c>
      <x:c r="C59" s="3" t="str">
        <x:v>AI × education × open</x:v>
      </x:c>
      <x:c r="D59" s="3" t="str">
        <x:v>Education language model</x:v>
      </x:c>
      <x:c r="E59" s="3" t="str">
        <x:v>East China Normal University, Fudan and collaborators</x:v>
      </x:c>
      <x:c r="F59" s="3" t="str">
        <x:v>Asia</x:v>
      </x:c>
      <x:c r="G59" s="3" t="str">
        <x:v>China / Chinese and English research use</x:v>
      </x:c>
      <x:c r="H59" s="3" t="str">
        <x:v>Released 2023; repository active through 2025</x:v>
      </x:c>
      <x:c r="I59" s="3" t="str">
        <x:v>Learners, educators and education-AI researchers</x:v>
      </x:c>
      <x:c r="J59" s="3" t="str">
        <x:v>Education LLM for Q&amp;A, Socratic dialogue, essay assessment and emotional support</x:v>
      </x:c>
      <x:c r="K59" s="3" t="str">
        <x:v>None identified</x:v>
      </x:c>
      <x:c r="L59" s="3" t="str">
        <x:v>No</x:v>
      </x:c>
      <x:c r="M59" s="3" t="str">
        <x:v>Partial / unresolved</x:v>
      </x:c>
      <x:c r="N59" s="3" t="str">
        <x:v>Claims open code/data/model parameters; no declared licence found</x:v>
      </x:c>
      <x:c r="O59" s="3" t="str">
        <x:v>Public research release</x:v>
      </x:c>
      <x:c r="P59" s="3" t="str">
        <x:v>No clear repository licence; base-model/training-data terms need audit</x:v>
      </x:c>
      <x:c r="Q59" s="3" t="str">
        <x:v>Academic technical benchmark</x:v>
      </x:c>
      <x:c r="R59" s="3" t="str">
        <x:v>Model benchmarks and academic paper; no classroom learner-outcome evidence.</x:v>
      </x:c>
      <x:c r="S59" s="3" t="str">
        <x:v>University research collaboration</x:v>
      </x:c>
      <x:c r="T59" s="3" t="str">
        <x:v>Chinese-language education model and research access</x:v>
      </x:c>
      <x:c r="U59" s="3" t="str">
        <x:v>Emotional-support use and learner dialogues raise heightened safety/privacy risks</x:v>
      </x:c>
      <x:c r="V59" s="3" t="str">
        <x:v>Open claims without a licence are not sufficient for reuse.</x:v>
      </x:c>
      <x:c r="W59" s="3" t="str">
        <x:v>Research watch — licence/safety diligence</x:v>
      </x:c>
      <x:c r="X59" s="3" t="str">
        <x:v>High on existence; lower on effects</x:v>
      </x:c>
      <x:c r="Y59" s="3" t="str">
        <x:v>https://github.com/ECNU-ICALK/EduChat</x:v>
      </x:c>
      <x:c r="Z59" s="3" t="str">
        <x:v>https://arxiv.org/abs/2308.02773</x:v>
      </x:c>
      <x:c r="AA59" s="9" t="n">
        <x:v>46268</x:v>
      </x:c>
      <x:c r="AB59" s="3" t="str">
        <x:v>Public repository but legal reuse uncertain</x:v>
      </x:c>
      <x:c r="AC59" s="9" t="n">
        <x:v>46268</x:v>
      </x:c>
      <x:c r="AD59" s="3" t="str"/>
      <x:c r="AE59" s="11" t="n">
        <x:f>COUNTIF('Sources'!$A$6:$A$196,A59)</x:f>
        <x:v>2</x:v>
      </x:c>
    </x:row>
    <x:row r="60" ht="51" customHeight="1">
      <x:c r="A60" s="3" t="str">
        <x:v>P055</x:v>
      </x:c>
      <x:c r="B60" s="3" t="str">
        <x:v>1EdTech LTI / LTI Advantage + Common Cartridge</x:v>
      </x:c>
      <x:c r="C60" s="3" t="str">
        <x:v>Education × open standards</x:v>
      </x:c>
      <x:c r="D60" s="3" t="str">
        <x:v>LMS, tool and content interoperability</x:v>
      </x:c>
      <x:c r="E60" s="3" t="str">
        <x:v>1EdTech Consortium</x:v>
      </x:c>
      <x:c r="F60" s="3" t="str">
        <x:v>Global</x:v>
      </x:c>
      <x:c r="G60" s="3" t="str">
        <x:v>Global</x:v>
      </x:c>
      <x:c r="H60" s="3" t="str">
        <x:v>Mature standards family; CC 1.4 still Candidate Final</x:v>
      </x:c>
      <x:c r="I60" s="3" t="str">
        <x:v>Education institutions, LMS/tool/content providers</x:v>
      </x:c>
      <x:c r="J60" s="3" t="str">
        <x:v>Secure tool launch, roles, deep linking, grades and course-content packaging</x:v>
      </x:c>
      <x:c r="K60" s="3" t="str">
        <x:v>LTI 1.3, LTI Advantage, Common Cartridge, Thin Common Cartridge</x:v>
      </x:c>
      <x:c r="L60" s="3" t="str">
        <x:v>Public and royalty-free to implement, with restrictive derivative-spec terms</x:v>
      </x:c>
      <x:c r="M60" s="3" t="str">
        <x:v>No / unclear</x:v>
      </x:c>
      <x:c r="N60" s="3" t="str">
        <x:v>N/A</x:v>
      </x:c>
      <x:c r="O60" s="3" t="str">
        <x:v>Specs public; certification/membership services paid</x:v>
      </x:c>
      <x:c r="P60" s="3" t="str">
        <x:v>1EdTech specification licence; certification membership-linked</x:v>
      </x:c>
      <x:c r="Q60" s="3" t="str">
        <x:v>Conformance / adoption evidence</x:v>
      </x:c>
      <x:c r="R60" s="3" t="str">
        <x:v>Large vendor ecosystem and certified products; no transparent independent deployment census.</x:v>
      </x:c>
      <x:c r="S60" s="3" t="str">
        <x:v>International membership consortium and formal workgroups</x:v>
      </x:c>
      <x:c r="T60" s="3" t="str">
        <x:v>Portability, lower integration cost and supplier choice</x:v>
      </x:c>
      <x:c r="U60" s="3" t="str">
        <x:v>OAuth/OIDC/JWT security architecture; data minimisation remains local</x:v>
      </x:c>
      <x:c r="V60" s="3" t="str">
        <x:v>Public RF implementation is not the same as open-content licensing.</x:v>
      </x:c>
      <x:c r="W60" s="3" t="str">
        <x:v>Core interoperability standard</x:v>
      </x:c>
      <x:c r="X60" s="3" t="str">
        <x:v>High on specification; medium on adoption</x:v>
      </x:c>
      <x:c r="Y60" s="3" t="str">
        <x:v>https://www.1edtech.org/standards/lti</x:v>
      </x:c>
      <x:c r="Z60" s="3" t="str">
        <x:v>https://www.1edtech.org/standards/cc</x:v>
      </x:c>
      <x:c r="AA60" s="9" t="n">
        <x:v>46268</x:v>
      </x:c>
      <x:c r="AB60" s="3" t="str">
        <x:v>Reference/conformance assets vary</x:v>
      </x:c>
      <x:c r="AC60" s="9" t="n">
        <x:v>46268</x:v>
      </x:c>
      <x:c r="AD60" s="3" t="str"/>
      <x:c r="AE60" s="11" t="n">
        <x:f>COUNTIF('Sources'!$A$6:$A$196,A60)</x:f>
        <x:v>2</x:v>
      </x:c>
    </x:row>
    <x:row r="61" ht="51" customHeight="1">
      <x:c r="A61" s="3" t="str">
        <x:v>P056</x:v>
      </x:c>
      <x:c r="B61" s="3" t="str">
        <x:v>1EdTech Question &amp; Test Interoperability (QTI)</x:v>
      </x:c>
      <x:c r="C61" s="3" t="str">
        <x:v>Education × open standards</x:v>
      </x:c>
      <x:c r="D61" s="3" t="str">
        <x:v>Assessment interoperability</x:v>
      </x:c>
      <x:c r="E61" s="3" t="str">
        <x:v>1EdTech Consortium</x:v>
      </x:c>
      <x:c r="F61" s="3" t="str">
        <x:v>Global</x:v>
      </x:c>
      <x:c r="G61" s="3" t="str">
        <x:v>Global</x:v>
      </x:c>
      <x:c r="H61" s="3" t="str">
        <x:v>QTI 3.0 Final (May 2022); active certification</x:v>
      </x:c>
      <x:c r="I61" s="3" t="str">
        <x:v>Assessment platforms, content authors and institutions</x:v>
      </x:c>
      <x:c r="J61" s="3" t="str">
        <x:v>Portable assessment items/tests, delivery, responses and results with accessibility support</x:v>
      </x:c>
      <x:c r="K61" s="3" t="str">
        <x:v>QTI 3.0 incorporating APIP accessibility work</x:v>
      </x:c>
      <x:c r="L61" s="3" t="str">
        <x:v>Public and royalty-free to implement; derivative-spec restrictions</x:v>
      </x:c>
      <x:c r="M61" s="3" t="str">
        <x:v>No / unclear</x:v>
      </x:c>
      <x:c r="N61" s="3" t="str">
        <x:v>N/A</x:v>
      </x:c>
      <x:c r="O61" s="3" t="str">
        <x:v>Specs public; certification services gated</x:v>
      </x:c>
      <x:c r="P61" s="3" t="str">
        <x:v>1EdTech specification licence</x:v>
      </x:c>
      <x:c r="Q61" s="3" t="str">
        <x:v>Conformance / adoption evidence</x:v>
      </x:c>
      <x:c r="R61" s="3" t="str">
        <x:v>Certified products and production assessment use; no independent global census.</x:v>
      </x:c>
      <x:c r="S61" s="3" t="str">
        <x:v>Formal consortium standard and conformance programme</x:v>
      </x:c>
      <x:c r="T61" s="3" t="str">
        <x:v>Assessment portability, ownership and accessibility</x:v>
      </x:c>
      <x:c r="U61" s="3" t="str">
        <x:v>Security and accommodations supported; validity/bias/data practice remain implementation issues</x:v>
      </x:c>
      <x:c r="V61" s="3" t="str">
        <x:v>Syntax conformance does not establish fair or valid assessment.</x:v>
      </x:c>
      <x:c r="W61" s="3" t="str">
        <x:v>Core interoperability standard</x:v>
      </x:c>
      <x:c r="X61" s="3" t="str">
        <x:v>High</x:v>
      </x:c>
      <x:c r="Y61" s="3" t="str">
        <x:v>https://www.1edtech.org/standards/qti</x:v>
      </x:c>
      <x:c r="Z61" s="3" t="str">
        <x:v>https://www.1edtech.org/standards/qti/versions</x:v>
      </x:c>
      <x:c r="AA61" s="9" t="n">
        <x:v>46268</x:v>
      </x:c>
      <x:c r="AB61" s="3" t="str">
        <x:v>Validators/reference assets vary</x:v>
      </x:c>
      <x:c r="AC61" s="9" t="n">
        <x:v>46268</x:v>
      </x:c>
      <x:c r="AD61" s="3" t="str"/>
      <x:c r="AE61" s="11" t="n">
        <x:f>COUNTIF('Sources'!$A$6:$A$196,A61)</x:f>
        <x:v>2</x:v>
      </x:c>
    </x:row>
    <x:row r="62" ht="38" customHeight="1">
      <x:c r="A62" s="3" t="str">
        <x:v>P057</x:v>
      </x:c>
      <x:c r="B62" s="3" t="str">
        <x:v>1EdTech OneRoster + Edu-API</x:v>
      </x:c>
      <x:c r="C62" s="3" t="str">
        <x:v>Education × open standards</x:v>
      </x:c>
      <x:c r="D62" s="3" t="str">
        <x:v>Administrative and learning-data exchange</x:v>
      </x:c>
      <x:c r="E62" s="3" t="str">
        <x:v>1EdTech Consortium</x:v>
      </x:c>
      <x:c r="F62" s="3" t="str">
        <x:v>Global</x:v>
      </x:c>
      <x:c r="G62" s="3" t="str">
        <x:v>Global; OneRoster strongest in K–12</x:v>
      </x:c>
      <x:c r="H62" s="3" t="str">
        <x:v>OneRoster 1.2 Final; Edu-API 1.0 MVP Candidate Final in 2025</x:v>
      </x:c>
      <x:c r="I62" s="3" t="str">
        <x:v>Schools, universities, SIS/LMS and application providers</x:v>
      </x:c>
      <x:c r="J62" s="3" t="str">
        <x:v>Roster/course/grade exchange via CSV/REST and emerging HE administrative APIs</x:v>
      </x:c>
      <x:c r="K62" s="3" t="str">
        <x:v>OneRoster; Edu-API drawing on LIS, OneRoster and LTI</x:v>
      </x:c>
      <x:c r="L62" s="3" t="str">
        <x:v>Public and RF to implement; licence caveat</x:v>
      </x:c>
      <x:c r="M62" s="3" t="str">
        <x:v>No / unclear</x:v>
      </x:c>
      <x:c r="N62" s="3" t="str">
        <x:v>N/A</x:v>
      </x:c>
      <x:c r="O62" s="3" t="str">
        <x:v>Specs public; certification partly gated</x:v>
      </x:c>
      <x:c r="P62" s="3" t="str">
        <x:v>1EdTech specification licence</x:v>
      </x:c>
      <x:c r="Q62" s="3" t="str">
        <x:v>Conformance / adoption evidence</x:v>
      </x:c>
      <x:c r="R62" s="3" t="str">
        <x:v>OneRoster is mature and widely certified; Edu-API remains earlier-stage.</x:v>
      </x:c>
      <x:c r="S62" s="3" t="str">
        <x:v>Formal 1EdTech workgroups and certification</x:v>
      </x:c>
      <x:c r="T62" s="3" t="str">
        <x:v>Reduces bespoke integrations and administrative burden</x:v>
      </x:c>
      <x:c r="U62" s="3" t="str">
        <x:v>Security profiles exist; retention/minimisation are not determined by the standard</x:v>
      </x:c>
      <x:c r="V62" s="3" t="str">
        <x:v>Do not give OneRoster and Edu-API the same readiness rating.</x:v>
      </x:c>
      <x:c r="W62" s="3" t="str">
        <x:v>Core administrative standard</x:v>
      </x:c>
      <x:c r="X62" s="3" t="str">
        <x:v>High on existence; lower on effects</x:v>
      </x:c>
      <x:c r="Y62" s="3" t="str">
        <x:v>https://www.1edtech.org/standards/oneroster</x:v>
      </x:c>
      <x:c r="Z62" s="3" t="str">
        <x:v>https://www.1edtech.org/standards/edu-api</x:v>
      </x:c>
      <x:c r="AA62" s="9" t="n">
        <x:v>46268</x:v>
      </x:c>
      <x:c r="AB62" s="3" t="str">
        <x:v>Reference/conformance assets vary</x:v>
      </x:c>
      <x:c r="AC62" s="9" t="n">
        <x:v>46268</x:v>
      </x:c>
      <x:c r="AD62" s="3" t="str"/>
      <x:c r="AE62" s="11" t="n">
        <x:f>COUNTIF('Sources'!$A$6:$A$196,A62)</x:f>
        <x:v>2</x:v>
      </x:c>
    </x:row>
    <x:row r="63" ht="51" customHeight="1">
      <x:c r="A63" s="3" t="str">
        <x:v>P058</x:v>
      </x:c>
      <x:c r="B63" s="3" t="str">
        <x:v>1EdTech CASE</x:v>
      </x:c>
      <x:c r="C63" s="3" t="str">
        <x:v>Education × open standards</x:v>
      </x:c>
      <x:c r="D63" s="3" t="str">
        <x:v>Curriculum, competency and standards exchange</x:v>
      </x:c>
      <x:c r="E63" s="3" t="str">
        <x:v>1EdTech Consortium</x:v>
      </x:c>
      <x:c r="F63" s="3" t="str">
        <x:v>Global</x:v>
      </x:c>
      <x:c r="G63" s="3" t="str">
        <x:v>Global</x:v>
      </x:c>
      <x:c r="H63" s="3" t="str">
        <x:v>Final standard; active ecosystem</x:v>
      </x:c>
      <x:c r="I63" s="3" t="str">
        <x:v>Curriculum authorities, institutions, content/assessment providers and AI developers</x:v>
      </x:c>
      <x:c r="J63" s="3" t="str">
        <x:v>Persistent identifiers, hierarchies, associations, rubrics and REST exchange for competencies</x:v>
      </x:c>
      <x:c r="K63" s="3" t="str">
        <x:v>Competencies and Academic Standards Exchange 1.1</x:v>
      </x:c>
      <x:c r="L63" s="3" t="str">
        <x:v>Public and RF to implement; licence caveat</x:v>
      </x:c>
      <x:c r="M63" s="3" t="str">
        <x:v>No / unclear</x:v>
      </x:c>
      <x:c r="N63" s="3" t="str">
        <x:v>Framework data depends on publisher</x:v>
      </x:c>
      <x:c r="O63" s="3" t="str">
        <x:v>Specs public; certification available</x:v>
      </x:c>
      <x:c r="P63" s="3" t="str">
        <x:v>1EdTech specification licence</x:v>
      </x:c>
      <x:c r="Q63" s="3" t="str">
        <x:v>Conformance / implementation evidence</x:v>
      </x:c>
      <x:c r="R63" s="3" t="str">
        <x:v>Credible formal standard; public scale and semantic-mapping quality evidence remain limited.</x:v>
      </x:c>
      <x:c r="S63" s="3" t="str">
        <x:v>International consortium with authorising bodies and vendors</x:v>
      </x:c>
      <x:c r="T63" s="3" t="str">
        <x:v>Machine-readable curriculum alignment and portability</x:v>
      </x:c>
      <x:c r="U63" s="3" t="str">
        <x:v>Mostly public framework data; downstream mastery data can be sensitive</x:v>
      </x:c>
      <x:c r="V63" s="3" t="str">
        <x:v>Persistent IDs and syntax do not guarantee high-quality alignments.</x:v>
      </x:c>
      <x:c r="W63" s="3" t="str">
        <x:v>Key AI-grounding enabler</x:v>
      </x:c>
      <x:c r="X63" s="3" t="str">
        <x:v>High on existence; lower on effects</x:v>
      </x:c>
      <x:c r="Y63" s="3" t="str">
        <x:v>https://www.1edtech.org/standards/case</x:v>
      </x:c>
      <x:c r="Z63" s="3" t="str">
        <x:v>https://www.1edtech.org/standards/case/about</x:v>
      </x:c>
      <x:c r="AA63" s="9" t="n">
        <x:v>46268</x:v>
      </x:c>
      <x:c r="AB63" s="3" t="str">
        <x:v>Reference implementations vary</x:v>
      </x:c>
      <x:c r="AC63" s="9" t="n">
        <x:v>46268</x:v>
      </x:c>
      <x:c r="AD63" s="3" t="str"/>
      <x:c r="AE63" s="11" t="n">
        <x:f>COUNTIF('Sources'!$A$6:$A$196,A63)</x:f>
        <x:v>2</x:v>
      </x:c>
    </x:row>
    <x:row r="64" ht="51" customHeight="1">
      <x:c r="A64" s="3" t="str">
        <x:v>P059</x:v>
      </x:c>
      <x:c r="B64" s="3" t="str">
        <x:v>1EdTech Caliper Analytics</x:v>
      </x:c>
      <x:c r="C64" s="3" t="str">
        <x:v>Education × open standards</x:v>
      </x:c>
      <x:c r="D64" s="3" t="str">
        <x:v>Learning activity analytics</x:v>
      </x:c>
      <x:c r="E64" s="3" t="str">
        <x:v>1EdTech Consortium</x:v>
      </x:c>
      <x:c r="F64" s="3" t="str">
        <x:v>Global</x:v>
      </x:c>
      <x:c r="G64" s="3" t="str">
        <x:v>Global</x:v>
      </x:c>
      <x:c r="H64" s="3" t="str">
        <x:v>Version 1.2 Final; active</x:v>
      </x:c>
      <x:c r="I64" s="3" t="str">
        <x:v>Institutions, learning tools, analytics platforms and researchers</x:v>
      </x:c>
      <x:c r="J64" s="3" t="str">
        <x:v>JSON-LD learning-event vocabulary and metric profiles</x:v>
      </x:c>
      <x:c r="K64" s="3" t="str">
        <x:v>Caliper Analytics 1.2</x:v>
      </x:c>
      <x:c r="L64" s="3" t="str">
        <x:v>Public specification</x:v>
      </x:c>
      <x:c r="M64" s="3" t="str">
        <x:v>Partial / unresolved</x:v>
      </x:c>
      <x:c r="N64" s="3" t="str">
        <x:v>N/A</x:v>
      </x:c>
      <x:c r="O64" s="3" t="str">
        <x:v>Specs public; certification/services vary</x:v>
      </x:c>
      <x:c r="P64" s="3" t="str">
        <x:v>1EdTech specification terms; repository-specific assets</x:v>
      </x:c>
      <x:c r="Q64" s="3" t="str">
        <x:v>Conformance / technical evidence</x:v>
      </x:c>
      <x:c r="R64" s="3" t="str">
        <x:v>Formal semantics and implementations exist; deployment and learning-benefit evidence are limited.</x:v>
      </x:c>
      <x:c r="S64" s="3" t="str">
        <x:v>1EdTech consortium</x:v>
      </x:c>
      <x:c r="T64" s="3" t="str">
        <x:v>Comparable activity data and cross-product analytics</x:v>
      </x:c>
      <x:c r="U64" s="3" t="str">
        <x:v>Granular event streams create surveillance and re-identification risk</x:v>
      </x:c>
      <x:c r="V64" s="3" t="str">
        <x:v>A common event model does not justify collection or determine lawful purpose.</x:v>
      </x:c>
      <x:c r="W64" s="3" t="str">
        <x:v>Core analytics standard</x:v>
      </x:c>
      <x:c r="X64" s="3" t="str">
        <x:v>High on existence; lower on effects</x:v>
      </x:c>
      <x:c r="Y64" s="3" t="str">
        <x:v>https://www.1edtech.org/standards/caliper</x:v>
      </x:c>
      <x:c r="Z64" s="3" t="str">
        <x:v>https://github.com/1EdTech/caliper-spec</x:v>
      </x:c>
      <x:c r="AA64" s="9" t="n">
        <x:v>46268</x:v>
      </x:c>
      <x:c r="AB64" s="3" t="str">
        <x:v>Specification repo public; some sensor APIs/member tools gated</x:v>
      </x:c>
      <x:c r="AC64" s="9" t="n">
        <x:v>46268</x:v>
      </x:c>
      <x:c r="AD64" s="3" t="str"/>
      <x:c r="AE64" s="11" t="n">
        <x:f>COUNTIF('Sources'!$A$6:$A$196,A64)</x:f>
        <x:v>2</x:v>
      </x:c>
    </x:row>
    <x:row r="65" ht="38" customHeight="1">
      <x:c r="A65" s="3" t="str">
        <x:v>P060</x:v>
      </x:c>
      <x:c r="B65" s="3" t="str">
        <x:v>Open Badges 3.0 + Comprehensive Learner Record 2.0</x:v>
      </x:c>
      <x:c r="C65" s="3" t="str">
        <x:v>Education × open standards</x:v>
      </x:c>
      <x:c r="D65" s="3" t="str">
        <x:v>Digital credentials and learner records</x:v>
      </x:c>
      <x:c r="E65" s="3" t="str">
        <x:v>1EdTech Consortium</x:v>
      </x:c>
      <x:c r="F65" s="3" t="str">
        <x:v>Global</x:v>
      </x:c>
      <x:c r="G65" s="3" t="str">
        <x:v>Global</x:v>
      </x:c>
      <x:c r="H65" s="3" t="str">
        <x:v>OB 3.0 current document June 2026; CLR 2.0 Final Feb 2025</x:v>
      </x:c>
      <x:c r="I65" s="3" t="str">
        <x:v>Issuers, learners, wallets, institutions and employers</x:v>
      </x:c>
      <x:c r="J65" s="3" t="str">
        <x:v>Signed JSON-LD achievements and longitudinal learner records</x:v>
      </x:c>
      <x:c r="K65" s="3" t="str">
        <x:v>Open Badges 3.0, CLR 2.0, W3C VC 2.0, OpenAPI</x:v>
      </x:c>
      <x:c r="L65" s="3" t="str">
        <x:v>Public and RF to implement; licence caveat</x:v>
      </x:c>
      <x:c r="M65" s="3" t="str">
        <x:v>No / unclear</x:v>
      </x:c>
      <x:c r="N65" s="3" t="str">
        <x:v>N/A</x:v>
      </x:c>
      <x:c r="O65" s="3" t="str">
        <x:v>Specs public; formal certification membership-linked</x:v>
      </x:c>
      <x:c r="P65" s="3" t="str">
        <x:v>1EdTech specification licence</x:v>
      </x:c>
      <x:c r="Q65" s="3" t="str">
        <x:v>Conformance / ecosystem evidence</x:v>
      </x:c>
      <x:c r="R65" s="3" t="str">
        <x:v>Mature specification ecosystem; issuer trust, recognition and learner adoption vary.</x:v>
      </x:c>
      <x:c r="S65" s="3" t="str">
        <x:v>1EdTech consortium and TrustEd Credential Coalition</x:v>
      </x:c>
      <x:c r="T65" s="3" t="str">
        <x:v>Portable, information-rich learner achievements</x:v>
      </x:c>
      <x:c r="U65" s="3" t="str">
        <x:v>Correlation, status checks, recovery and wallet loss are material risks</x:v>
      </x:c>
      <x:c r="V65" s="3" t="str">
        <x:v>Cryptographic integrity proves provenance, not educational quality or equivalence.</x:v>
      </x:c>
      <x:c r="W65" s="3" t="str">
        <x:v>Core credential standard</x:v>
      </x:c>
      <x:c r="X65" s="3" t="str">
        <x:v>High on existence; lower on effects</x:v>
      </x:c>
      <x:c r="Y65" s="3" t="str">
        <x:v>https://www.imsglobal.org/spec/ob/v3p0/</x:v>
      </x:c>
      <x:c r="Z65" s="3" t="str">
        <x:v>https://www.imsglobal.org/spec/clr/v2p0</x:v>
      </x:c>
      <x:c r="AA65" s="9" t="n">
        <x:v>46268</x:v>
      </x:c>
      <x:c r="AB65" s="3" t="str">
        <x:v>Implementations ecosystem-dependent</x:v>
      </x:c>
      <x:c r="AC65" s="9" t="n">
        <x:v>46268</x:v>
      </x:c>
      <x:c r="AD65" s="3" t="str"/>
      <x:c r="AE65" s="11" t="n">
        <x:f>COUNTIF('Sources'!$A$6:$A$196,A65)</x:f>
        <x:v>2</x:v>
      </x:c>
    </x:row>
    <x:row r="66" ht="51" customHeight="1">
      <x:c r="A66" s="3" t="str">
        <x:v>P061</x:v>
      </x:c>
      <x:c r="B66" s="3" t="str">
        <x:v>Experience API (xAPI) + cmi5</x:v>
      </x:c>
      <x:c r="C66" s="3" t="str">
        <x:v>Education × open standards</x:v>
      </x:c>
      <x:c r="D66" s="3" t="str">
        <x:v>Learning activity and LMS launch</x:v>
      </x:c>
      <x:c r="E66" s="3" t="str">
        <x:v>ADL Initiative / IEEE Open Source; AICC lineage</x:v>
      </x:c>
      <x:c r="F66" s="3" t="str">
        <x:v>Global</x:v>
      </x:c>
      <x:c r="G66" s="3" t="str">
        <x:v>Global, strong defence/training use</x:v>
      </x:c>
      <x:c r="H66" s="3" t="str">
        <x:v>Mature family; xAPI 2.0 stewardship evolving</x:v>
      </x:c>
      <x:c r="I66" s="3" t="str">
        <x:v>Training systems, LMSs, learning record stores and analytics teams</x:v>
      </x:c>
      <x:c r="J66" s="3" t="str">
        <x:v>Actor–verb–object activity statements; cmi5 launch/session/course profiles</x:v>
      </x:c>
      <x:c r="K66" s="3" t="str">
        <x:v>xAPI and cmi5</x:v>
      </x:c>
      <x:c r="L66" s="3" t="str">
        <x:v>Yes</x:v>
      </x:c>
      <x:c r="M66" s="3" t="str">
        <x:v>Yes</x:v>
      </x:c>
      <x:c r="N66" s="3" t="str">
        <x:v>N/A</x:v>
      </x:c>
      <x:c r="O66" s="3" t="str">
        <x:v>Public</x:v>
      </x:c>
      <x:c r="P66" s="3" t="str">
        <x:v>Apache-2.0 repositories</x:v>
      </x:c>
      <x:c r="Q66" s="3" t="str">
        <x:v>Technical / adoption evidence</x:v>
      </x:c>
      <x:c r="R66" s="3" t="str">
        <x:v>Mature in training niches; global uptake and profile-level interoperability are not well enumerated.</x:v>
      </x:c>
      <x:c r="S66" s="3" t="str">
        <x:v>Public-sector ADL lineage with open-source stewardship</x:v>
      </x:c>
      <x:c r="T66" s="3" t="str">
        <x:v>Portable event data and composable training ecosystems</x:v>
      </x:c>
      <x:c r="U66" s="3" t="str">
        <x:v>Longitudinal activity histories pose surveillance and purpose-creep risks</x:v>
      </x:c>
      <x:c r="V66" s="3" t="str">
        <x:v>Shared syntax without constrained vocabularies can still fragment semantics.</x:v>
      </x:c>
      <x:c r="W66" s="3" t="str">
        <x:v>Core learning-event standard</x:v>
      </x:c>
      <x:c r="X66" s="3" t="str">
        <x:v>High on existence; lower on effects</x:v>
      </x:c>
      <x:c r="Y66" s="3" t="str">
        <x:v>https://github.com/adlnet/xAPI-Spec</x:v>
      </x:c>
      <x:c r="Z66" s="3" t="str">
        <x:v>https://aicc.github.io/CMI-5_Spec_Current/</x:v>
      </x:c>
      <x:c r="AA66" s="9" t="n">
        <x:v>46268</x:v>
      </x:c>
      <x:c r="AB66" s="3" t="str">
        <x:v>Yes — public repositories</x:v>
      </x:c>
      <x:c r="AC66" s="9" t="n">
        <x:v>46268</x:v>
      </x:c>
      <x:c r="AD66" s="3" t="str"/>
      <x:c r="AE66" s="11" t="n">
        <x:f>COUNTIF('Sources'!$A$6:$A$196,A66)</x:f>
        <x:v>2</x:v>
      </x:c>
    </x:row>
    <x:row r="67" ht="38" customHeight="1">
      <x:c r="A67" s="3" t="str">
        <x:v>P062</x:v>
      </x:c>
      <x:c r="B67" s="3" t="str">
        <x:v>Ed-Fi Data Standard and APIs</x:v>
      </x:c>
      <x:c r="C67" s="3" t="str">
        <x:v>Education × open standards</x:v>
      </x:c>
      <x:c r="D67" s="3" t="str">
        <x:v>K–12 data interoperability and operational store</x:v>
      </x:c>
      <x:c r="E67" s="3" t="str">
        <x:v>Ed-Fi Alliance</x:v>
      </x:c>
      <x:c r="F67" s="3" t="str">
        <x:v>North America</x:v>
      </x:c>
      <x:c r="G67" s="3" t="str">
        <x:v>Primarily United States K–12</x:v>
      </x:c>
      <x:c r="H67" s="3" t="str">
        <x:v>Active; Data Standard 6.1 and platform transition toward 2028–29</x:v>
      </x:c>
      <x:c r="I67" s="3" t="str">
        <x:v>States, districts, vendors and data teams</x:v>
      </x:c>
      <x:c r="J67" s="3" t="str">
        <x:v>Shared education data model, REST APIs and open reference implementations</x:v>
      </x:c>
      <x:c r="K67" s="3" t="str">
        <x:v>Ed-Fi Data Standard and Resources APIs; aligned with CEDS</x:v>
      </x:c>
      <x:c r="L67" s="3" t="str">
        <x:v>Yes</x:v>
      </x:c>
      <x:c r="M67" s="3" t="str">
        <x:v>Yes</x:v>
      </x:c>
      <x:c r="N67" s="3" t="str">
        <x:v>N/A</x:v>
      </x:c>
      <x:c r="O67" s="3" t="str">
        <x:v>Public specs/code; certification/support ecosystem</x:v>
      </x:c>
      <x:c r="P67" s="3" t="str">
        <x:v>Apache-2.0 reference implementations</x:v>
      </x:c>
      <x:c r="Q67" s="3" t="str">
        <x:v>Conformance / implementation evidence</x:v>
      </x:c>
      <x:c r="R67" s="3" t="str">
        <x:v>State cases and certified partners show adoption; benefits are largely steward-reported.</x:v>
      </x:c>
      <x:c r="S67" s="3" t="str">
        <x:v>Nonprofit alliance with state, district and vendor community</x:v>
      </x:c>
      <x:c r="T67" s="3" t="str">
        <x:v>Shared public K–12 data infrastructure and lower integration cost</x:v>
      </x:c>
      <x:c r="U67" s="3" t="str">
        <x:v>Authorisation, provenance, fairness and student agency remain local</x:v>
      </x:c>
      <x:c r="V67" s="3" t="str">
        <x:v>Major ODS/API-to-new-platform migration increases implementation risk.</x:v>
      </x:c>
      <x:c r="W67" s="3" t="str">
        <x:v>Core K–12 data standard</x:v>
      </x:c>
      <x:c r="X67" s="3" t="str">
        <x:v>High on existence; lower on effects</x:v>
      </x:c>
      <x:c r="Y67" s="3" t="str">
        <x:v>https://docs.ed-fi.org/reference/</x:v>
      </x:c>
      <x:c r="Z67" s="3" t="str">
        <x:v>https://github.com/Ed-Fi-Alliance-OSS/Ed-Fi-Data-Standard</x:v>
      </x:c>
      <x:c r="AA67" s="9" t="n">
        <x:v>46268</x:v>
      </x:c>
      <x:c r="AB67" s="3" t="str">
        <x:v>Yes</x:v>
      </x:c>
      <x:c r="AC67" s="9" t="n">
        <x:v>46268</x:v>
      </x:c>
      <x:c r="AD67" s="3" t="str"/>
      <x:c r="AE67" s="11" t="n">
        <x:f>COUNTIF('Sources'!$A$6:$A$196,A67)</x:f>
        <x:v>2</x:v>
      </x:c>
    </x:row>
    <x:row r="68" ht="38" customHeight="1">
      <x:c r="A68" s="3" t="str">
        <x:v>P063</x:v>
      </x:c>
      <x:c r="B68" s="3" t="str">
        <x:v>Schools Interoperability Framework (SIF)</x:v>
      </x:c>
      <x:c r="C68" s="3" t="str">
        <x:v>Education × open standards</x:v>
      </x:c>
      <x:c r="D68" s="3" t="str">
        <x:v>School data models and service architecture</x:v>
      </x:c>
      <x:c r="E68" s="3" t="str">
        <x:v>Access 4 Learning Community</x:v>
      </x:c>
      <x:c r="F68" s="3" t="str">
        <x:v>Global</x:v>
      </x:c>
      <x:c r="G68" s="3" t="str">
        <x:v>United States, Australia, New Zealand and other participants</x:v>
      </x:c>
      <x:c r="H68" s="3" t="str">
        <x:v>Mature with regional versions</x:v>
      </x:c>
      <x:c r="I68" s="3" t="str">
        <x:v>Education agencies, schools, MIS vendors and integrators</x:v>
      </x:c>
      <x:c r="J68" s="3" t="str">
        <x:v>Regional data models plus XML/HTTP(S) exchange architecture and SDKs</x:v>
      </x:c>
      <x:c r="K68" s="3" t="str">
        <x:v>SIF North America, Australia and other profiles</x:v>
      </x:c>
      <x:c r="L68" s="3" t="str">
        <x:v>Described as open, non-proprietary and transparent</x:v>
      </x:c>
      <x:c r="M68" s="3" t="str">
        <x:v>Partial / unresolved</x:v>
      </x:c>
      <x:c r="N68" s="3" t="str">
        <x:v>N/A</x:v>
      </x:c>
      <x:c r="O68" s="3" t="str">
        <x:v>Public specifications</x:v>
      </x:c>
      <x:c r="P68" s="3" t="str">
        <x:v>Regional/component terms; verify before reuse</x:v>
      </x:c>
      <x:c r="Q68" s="3" t="str">
        <x:v>Implementation evidence</x:v>
      </x:c>
      <x:c r="R68" s="3" t="str">
        <x:v>Long institutional history; current certification and deployment counts are limited.</x:v>
      </x:c>
      <x:c r="S68" s="3" t="str">
        <x:v>International community with regional governance</x:v>
      </x:c>
      <x:c r="T68" s="3" t="str">
        <x:v>Cross-vendor education-data exchange</x:v>
      </x:c>
      <x:c r="U68" s="3" t="str">
        <x:v>Privacy controls sit outside the data model</x:v>
      </x:c>
      <x:c r="V68" s="3" t="str">
        <x:v>Regional divergence and XML heritage raise integration costs.</x:v>
      </x:c>
      <x:c r="W68" s="3" t="str">
        <x:v>Established regional standard</x:v>
      </x:c>
      <x:c r="X68" s="3" t="str">
        <x:v>High on existence; lower on effects</x:v>
      </x:c>
      <x:c r="Y68" s="3" t="str">
        <x:v>https://data.a4l.org/sif-specifications/</x:v>
      </x:c>
      <x:c r="Z68" s="3" t="str">
        <x:v>https://data.a4l.org/open-source/</x:v>
      </x:c>
      <x:c r="AA68" s="9" t="n">
        <x:v>46268</x:v>
      </x:c>
      <x:c r="AB68" s="3" t="str">
        <x:v>Public SDKs/examples</x:v>
      </x:c>
      <x:c r="AC68" s="9" t="n">
        <x:v>46268</x:v>
      </x:c>
      <x:c r="AD68" s="3" t="str"/>
      <x:c r="AE68" s="11" t="n">
        <x:f>COUNTIF('Sources'!$A$6:$A$196,A68)</x:f>
        <x:v>2</x:v>
      </x:c>
    </x:row>
    <x:row r="69" ht="51" customHeight="1">
      <x:c r="A69" s="3" t="str">
        <x:v>P064</x:v>
      </x:c>
      <x:c r="B69" s="3" t="str">
        <x:v>Common Education Data Standards (CEDS)</x:v>
      </x:c>
      <x:c r="C69" s="3" t="str">
        <x:v>Education × open standards</x:v>
      </x:c>
      <x:c r="D69" s="3" t="str">
        <x:v>Education semantic data model</x:v>
      </x:c>
      <x:c r="E69" s="3" t="str">
        <x:v>US Department of Education / NCES</x:v>
      </x:c>
      <x:c r="F69" s="3" t="str">
        <x:v>North America</x:v>
      </x:c>
      <x:c r="G69" s="3" t="str">
        <x:v>United States P–20W</x:v>
      </x:c>
      <x:c r="H69" s="3" t="str">
        <x:v>Continuously maintained voluntary standard</x:v>
      </x:c>
      <x:c r="I69" s="3" t="str">
        <x:v>Education agencies, institutions, researchers and system designers</x:v>
      </x:c>
      <x:c r="J69" s="3" t="str">
        <x:v>Common elements, definitions, data models, connections and alignment tools</x:v>
      </x:c>
      <x:c r="K69" s="3" t="str">
        <x:v>CEDS</x:v>
      </x:c>
      <x:c r="L69" s="3" t="str">
        <x:v>Yes / public government resource</x:v>
      </x:c>
      <x:c r="M69" s="3" t="str">
        <x:v>Partial / unresolved</x:v>
      </x:c>
      <x:c r="N69" s="3" t="str">
        <x:v>Downloadable models and mappings</x:v>
      </x:c>
      <x:c r="O69" s="3" t="str">
        <x:v>Free public access</x:v>
      </x:c>
      <x:c r="P69" s="3" t="str">
        <x:v>US government/open-resource context; component details vary</x:v>
      </x:c>
      <x:c r="Q69" s="3" t="str">
        <x:v>Implementation / alignment evidence</x:v>
      </x:c>
      <x:c r="R69" s="3" t="str">
        <x:v>Federal longevity and stakeholder process; voluntary use does not ensure consistent local interpretation.</x:v>
      </x:c>
      <x:c r="S69" s="3" t="str">
        <x:v>US federal steward with community participation</x:v>
      </x:c>
      <x:c r="T69" s="3" t="str">
        <x:v>Shared semantics across education and workforce data</x:v>
      </x:c>
      <x:c r="U69" s="3" t="str">
        <x:v>Defines sensitive concepts but is not a privacy-control system</x:v>
      </x:c>
      <x:c r="V69" s="3" t="str">
        <x:v>Semantic alignment alone is not runtime interoperability.</x:v>
      </x:c>
      <x:c r="W69" s="3" t="str">
        <x:v>Foundational semantic standard</x:v>
      </x:c>
      <x:c r="X69" s="3" t="str">
        <x:v>High on existence; lower on effects</x:v>
      </x:c>
      <x:c r="Y69" s="3" t="str">
        <x:v>https://ceds.ed.gov/</x:v>
      </x:c>
      <x:c r="Z69" s="3" t="str">
        <x:v>https://ceds.ed.gov/elementsceds.aspx</x:v>
      </x:c>
      <x:c r="AA69" s="9" t="n">
        <x:v>46268</x:v>
      </x:c>
      <x:c r="AB69" s="3" t="str">
        <x:v>Public tools/GitHub participation</x:v>
      </x:c>
      <x:c r="AC69" s="9" t="n">
        <x:v>46268</x:v>
      </x:c>
      <x:c r="AD69" s="3" t="str"/>
      <x:c r="AE69" s="11" t="n">
        <x:f>COUNTIF('Sources'!$A$6:$A$196,A69)</x:f>
        <x:v>2</x:v>
      </x:c>
    </x:row>
    <x:row r="70" ht="51" customHeight="1">
      <x:c r="A70" s="3" t="str">
        <x:v>P065</x:v>
      </x:c>
      <x:c r="B70" s="3" t="str">
        <x:v>Project Unicorn</x:v>
      </x:c>
      <x:c r="C70" s="3" t="str">
        <x:v>Education × open standards</x:v>
      </x:c>
      <x:c r="D70" s="3" t="str">
        <x:v>Interoperability adoption and procurement</x:v>
      </x:c>
      <x:c r="E70" s="3" t="str">
        <x:v>InnovateEDU and cross-sector coalition</x:v>
      </x:c>
      <x:c r="F70" s="3" t="str">
        <x:v>North America</x:v>
      </x:c>
      <x:c r="G70" s="3" t="str">
        <x:v>United States K–12</x:v>
      </x:c>
      <x:c r="H70" s="3" t="str">
        <x:v>Active national initiative</x:v>
      </x:c>
      <x:c r="I70" s="3" t="str">
        <x:v>School systems, edtech vendors and procurement leaders</x:v>
      </x:c>
      <x:c r="J70" s="3" t="str">
        <x:v>Rubric, pledge, buyer guidance, product certification and annual sector survey</x:v>
      </x:c>
      <x:c r="K70" s="3" t="str">
        <x:v>Promotes Ed-Fi, SIF and 1EdTech use</x:v>
      </x:c>
      <x:c r="L70" s="3" t="str">
        <x:v>Public governance resources</x:v>
      </x:c>
      <x:c r="M70" s="3" t="str">
        <x:v>N/A</x:v>
      </x:c>
      <x:c r="N70" s="3" t="str">
        <x:v>Reports/tools public</x:v>
      </x:c>
      <x:c r="O70" s="3" t="str">
        <x:v>Public resources; programme services vary</x:v>
      </x:c>
      <x:c r="P70" s="3" t="str">
        <x:v>Material-specific</x:v>
      </x:c>
      <x:c r="Q70" s="3" t="str">
        <x:v>Sector survey / certification evidence</x:v>
      </x:c>
      <x:c r="R70" s="3" t="str">
        <x:v>Annual school-system survey and certified products; certification may include roadmap intent, weaker than strict conformance.</x:v>
      </x:c>
      <x:c r="S70" s="3" t="str">
        <x:v>Nonprofit-led coalition with advisory boards</x:v>
      </x:c>
      <x:c r="T70" s="3" t="str">
        <x:v>Equitable student data use and informed procurement</x:v>
      </x:c>
      <x:c r="U70" s="3" t="str">
        <x:v>Privacy is paired with interoperability in the rubric</x:v>
      </x:c>
      <x:c r="V70" s="3" t="str">
        <x:v>It is an adoption/governance initiative, not a technical standard.</x:v>
      </x:c>
      <x:c r="W70" s="3" t="str">
        <x:v>Important market-shaping programme</x:v>
      </x:c>
      <x:c r="X70" s="3" t="str">
        <x:v>High on existence; lower on effects</x:v>
      </x:c>
      <x:c r="Y70" s="3" t="str">
        <x:v>https://www.projectunicorn.org/</x:v>
      </x:c>
      <x:c r="Z70" s="3" t="str">
        <x:v>https://www.projectunicorn.org/state-of-the-sector</x:v>
      </x:c>
      <x:c r="AA70" s="9" t="n">
        <x:v>46268</x:v>
      </x:c>
      <x:c r="AB70" s="3" t="str">
        <x:v>N/A</x:v>
      </x:c>
      <x:c r="AC70" s="9" t="n">
        <x:v>46268</x:v>
      </x:c>
      <x:c r="AD70" s="3" t="str"/>
      <x:c r="AE70" s="11" t="n">
        <x:f>COUNTIF('Sources'!$A$6:$A$196,A70)</x:f>
        <x:v>2</x:v>
      </x:c>
    </x:row>
    <x:row r="71" ht="51" customHeight="1">
      <x:c r="A71" s="3" t="str">
        <x:v>P066</x:v>
      </x:c>
      <x:c r="B71" s="3" t="str">
        <x:v>PESC education-data standards</x:v>
      </x:c>
      <x:c r="C71" s="3" t="str">
        <x:v>Education × open standards</x:v>
      </x:c>
      <x:c r="D71" s="3" t="str">
        <x:v>Secondary/postsecondary data exchange</x:v>
      </x:c>
      <x:c r="E71" s="3" t="str">
        <x:v>Postsecondary Electronic Standards Council</x:v>
      </x:c>
      <x:c r="F71" s="3" t="str">
        <x:v>North America</x:v>
      </x:c>
      <x:c r="G71" s="3" t="str">
        <x:v>Primarily United States and Canada</x:v>
      </x:c>
      <x:c r="H71" s="3" t="str">
        <x:v>Mature standards suite</x:v>
      </x:c>
      <x:c r="I71" s="3" t="str">
        <x:v>Schools, universities, admissions, registrars and agencies</x:v>
      </x:c>
      <x:c r="J71" s="3" t="str">
        <x:v>High-school/college transcripts, applications, course inventory and EDI/XML/JSON guidance</x:v>
      </x:c>
      <x:c r="K71" s="3" t="str">
        <x:v>PESC approved standards</x:v>
      </x:c>
      <x:c r="L71" s="3" t="str">
        <x:v>Public and free to use under PESC terms</x:v>
      </x:c>
      <x:c r="M71" s="3" t="str">
        <x:v>N/A</x:v>
      </x:c>
      <x:c r="N71" s="3" t="str">
        <x:v>N/A</x:v>
      </x:c>
      <x:c r="O71" s="3" t="str">
        <x:v>Free public specifications</x:v>
      </x:c>
      <x:c r="P71" s="3" t="str">
        <x:v>Implementation/derivative use allowed subject to PESC terms and attribution</x:v>
      </x:c>
      <x:c r="Q71" s="3" t="str">
        <x:v>Implementation evidence</x:v>
      </x:c>
      <x:c r="R71" s="3" t="str">
        <x:v>Long-running transcript use; exact current deployment scale is not independently enumerated.</x:v>
      </x:c>
      <x:c r="S71" s="3" t="str">
        <x:v>Nonprofit membership consortium and public comment process</x:v>
      </x:c>
      <x:c r="T71" s="3" t="str">
        <x:v>Reliable education-record exchange</x:v>
      </x:c>
      <x:c r="U71" s="3" t="str">
        <x:v>Sensitive records require strong operational security and minimisation</x:v>
      </x:c>
      <x:c r="V71" s="3" t="str">
        <x:v>Multiple generations/serialisations create migration complexity.</x:v>
      </x:c>
      <x:c r="W71" s="3" t="str">
        <x:v>Established transcript standard</x:v>
      </x:c>
      <x:c r="X71" s="3" t="str">
        <x:v>High on existence; lower on effects</x:v>
      </x:c>
      <x:c r="Y71" s="3" t="str">
        <x:v>https://pesc.org/approved-standards/</x:v>
      </x:c>
      <x:c r="Z71" s="3" t="str">
        <x:v>https://pesc.org/college-transcript/</x:v>
      </x:c>
      <x:c r="AA71" s="9" t="n">
        <x:v>46268</x:v>
      </x:c>
      <x:c r="AB71" s="3" t="str">
        <x:v>N/A</x:v>
      </x:c>
      <x:c r="AC71" s="9" t="n">
        <x:v>46268</x:v>
      </x:c>
      <x:c r="AD71" s="3" t="str"/>
      <x:c r="AE71" s="11" t="n">
        <x:f>COUNTIF('Sources'!$A$6:$A$196,A71)</x:f>
        <x:v>2</x:v>
      </x:c>
    </x:row>
    <x:row r="72" ht="51" customHeight="1">
      <x:c r="A72" s="3" t="str">
        <x:v>P067</x:v>
      </x:c>
      <x:c r="B72" s="3" t="str">
        <x:v>W3C Verifiable Credentials Data Model 2.0</x:v>
      </x:c>
      <x:c r="C72" s="3" t="str">
        <x:v>Education × open standards</x:v>
      </x:c>
      <x:c r="D72" s="3" t="str">
        <x:v>Horizontal credential trust foundation</x:v>
      </x:c>
      <x:c r="E72" s="3" t="str">
        <x:v>World Wide Web Consortium</x:v>
      </x:c>
      <x:c r="F72" s="3" t="str">
        <x:v>Global</x:v>
      </x:c>
      <x:c r="G72" s="3" t="str">
        <x:v>Global; major education profiles</x:v>
      </x:c>
      <x:c r="H72" s="3" t="str">
        <x:v>W3C Recommendation, May 2025</x:v>
      </x:c>
      <x:c r="I72" s="3" t="str">
        <x:v>Credential issuers, holders, wallets and verifiers</x:v>
      </x:c>
      <x:c r="J72" s="3" t="str">
        <x:v>Tamper-evident credential and presentation data model</x:v>
      </x:c>
      <x:c r="K72" s="3" t="str">
        <x:v>W3C VC 2.0; often paired with DIDs/status mechanisms</x:v>
      </x:c>
      <x:c r="L72" s="3" t="str">
        <x:v>Yes — public W3C standard</x:v>
      </x:c>
      <x:c r="M72" s="3" t="str">
        <x:v>No / unclear</x:v>
      </x:c>
      <x:c r="N72" s="3" t="str">
        <x:v>N/A</x:v>
      </x:c>
      <x:c r="O72" s="3" t="str">
        <x:v>Public specification</x:v>
      </x:c>
      <x:c r="P72" s="3" t="str">
        <x:v>W3C process and patent policy</x:v>
      </x:c>
      <x:c r="Q72" s="3" t="str">
        <x:v>Normative / ecosystem evidence</x:v>
      </x:c>
      <x:c r="R72" s="3" t="str">
        <x:v>Adopted by Open Badges, EDC and wallet projects; education-specific conformance scale varies.</x:v>
      </x:c>
      <x:c r="S72" s="3" t="str">
        <x:v>Open W3C standards process</x:v>
      </x:c>
      <x:c r="T72" s="3" t="str">
        <x:v>Portable, decentralised credential infrastructure</x:v>
      </x:c>
      <x:c r="U72" s="3" t="str">
        <x:v>Correlation, status lists, identifiers and trust registries need privacy design</x:v>
      </x:c>
      <x:c r="V72" s="3" t="str">
        <x:v>Proves integrity/provenance, not truth, educational quality or recognition.</x:v>
      </x:c>
      <x:c r="W72" s="3" t="str">
        <x:v>Foundational credential standard</x:v>
      </x:c>
      <x:c r="X72" s="3" t="str">
        <x:v>High on existence; lower on effects</x:v>
      </x:c>
      <x:c r="Y72" s="3" t="str">
        <x:v>https://www.w3.org/TR/vc-data-model-2.0/</x:v>
      </x:c>
      <x:c r="Z72" s="3"/>
      <x:c r="AA72" s="9" t="n">
        <x:v>46268</x:v>
      </x:c>
      <x:c r="AB72" s="3" t="str">
        <x:v>Implementations vary</x:v>
      </x:c>
      <x:c r="AC72" s="9" t="n">
        <x:v>46268</x:v>
      </x:c>
      <x:c r="AD72" s="3" t="str"/>
      <x:c r="AE72" s="11" t="n">
        <x:f>COUNTIF('Sources'!$A$6:$A$196,A72)</x:f>
        <x:v>1</x:v>
      </x:c>
    </x:row>
    <x:row r="73" ht="51" customHeight="1">
      <x:c r="A73" s="3" t="str">
        <x:v>P068</x:v>
      </x:c>
      <x:c r="B73" s="3" t="str">
        <x:v>European Learning Model + European Digital Credentials for Learning</x:v>
      </x:c>
      <x:c r="C73" s="3" t="str">
        <x:v>Education × open standards</x:v>
      </x:c>
      <x:c r="D73" s="3" t="str">
        <x:v>Semantic model and credential infrastructure</x:v>
      </x:c>
      <x:c r="E73" s="3" t="str">
        <x:v>European Commission / Europass / Publications Office</x:v>
      </x:c>
      <x:c r="F73" s="3" t="str">
        <x:v>Europe</x:v>
      </x:c>
      <x:c r="G73" s="3" t="str">
        <x:v>European Union</x:v>
      </x:c>
      <x:c r="H73" s="3" t="str">
        <x:v>Operational and versioned; ELM v3 from 2023</x:v>
      </x:c>
      <x:c r="I73" s="3" t="str">
        <x:v>Education providers, issuers, learners, quality bodies and developers</x:v>
      </x:c>
      <x:c r="J73" s="3" t="str">
        <x:v>Multilingual model for opportunities, qualifications and achievements plus VC issuer/verifier/wallet APIs</x:v>
      </x:c>
      <x:c r="K73" s="3" t="str">
        <x:v>ELM, W3C VC, RDF/JSON-LD, OpenAPI</x:v>
      </x:c>
      <x:c r="L73" s="3" t="str">
        <x:v>Yes</x:v>
      </x:c>
      <x:c r="M73" s="3" t="str">
        <x:v>Yes</x:v>
      </x:c>
      <x:c r="N73" s="3" t="str">
        <x:v>Public vocabularies/models</x:v>
      </x:c>
      <x:c r="O73" s="3" t="str">
        <x:v>Public EU infrastructure</x:v>
      </x:c>
      <x:c r="P73" s="3" t="str">
        <x:v>EUPL-1.2 for assessed releases; component terms vary</x:v>
      </x:c>
      <x:c r="Q73" s="3" t="str">
        <x:v>Operational / adoption evidence</x:v>
      </x:c>
      <x:c r="R73" s="3" t="str">
        <x:v>Official EU operation is a strong signal; public issuer and learner-volume metrics are sparse.</x:v>
      </x:c>
      <x:c r="S73" s="3" t="str">
        <x:v>European Commission public infrastructure</x:v>
      </x:c>
      <x:c r="T73" s="3" t="str">
        <x:v>Cross-border recognition, transparency and learner control</x:v>
      </x:c>
      <x:c r="U73" s="3" t="str">
        <x:v>Identifier resolution, trust alignment and wallet handling require governance</x:v>
      </x:c>
      <x:c r="V73" s="3" t="str">
        <x:v>Complex model and member-state trust alignment can impede adoption.</x:v>
      </x:c>
      <x:c r="W73" s="3" t="str">
        <x:v>Major public credential infrastructure</x:v>
      </x:c>
      <x:c r="X73" s="3" t="str">
        <x:v>High on existence; lower on effects</x:v>
      </x:c>
      <x:c r="Y73" s="3" t="str">
        <x:v>https://europa.eu/europass/elm-browser/index.html</x:v>
      </x:c>
      <x:c r="Z73" s="3" t="str">
        <x:v>https://europass.europa.eu/en/european-digital-credentials</x:v>
      </x:c>
      <x:c r="AA73" s="9" t="n">
        <x:v>46268</x:v>
      </x:c>
      <x:c r="AB73" s="3" t="str">
        <x:v>Yes / public tools</x:v>
      </x:c>
      <x:c r="AC73" s="9" t="n">
        <x:v>46268</x:v>
      </x:c>
      <x:c r="AD73" s="3" t="str"/>
      <x:c r="AE73" s="11" t="n">
        <x:f>COUNTIF('Sources'!$A$6:$A$196,A73)</x:f>
        <x:v>2</x:v>
      </x:c>
    </x:row>
    <x:row r="74" ht="51" customHeight="1">
      <x:c r="A74" s="3" t="str">
        <x:v>P069</x:v>
      </x:c>
      <x:c r="B74" s="3" t="str">
        <x:v>Digital Credentials Consortium Learner Credential Wallet</x:v>
      </x:c>
      <x:c r="C74" s="3" t="str">
        <x:v>Education × open standards</x:v>
      </x:c>
      <x:c r="D74" s="3" t="str">
        <x:v>Open learner credential wallet</x:v>
      </x:c>
      <x:c r="E74" s="3" t="str">
        <x:v>MIT-led Digital Credentials Consortium; OpenWallet Foundation Labs</x:v>
      </x:c>
      <x:c r="F74" s="3" t="str">
        <x:v>Global</x:v>
      </x:c>
      <x:c r="G74" s="3" t="str">
        <x:v>International higher-education pilots</x:v>
      </x:c>
      <x:c r="H74" s="3" t="str">
        <x:v>Active open-source project; pilot adoption</x:v>
      </x:c>
      <x:c r="I74" s="3" t="str">
        <x:v>Learners, universities, issuers and verifiers</x:v>
      </x:c>
      <x:c r="J74" s="3" t="str">
        <x:v>Mobile wallet plus issuing/verifying libraries and registries</x:v>
      </x:c>
      <x:c r="K74" s="3" t="str">
        <x:v>W3C VC, Open Badges and related education profiles</x:v>
      </x:c>
      <x:c r="L74" s="3" t="str">
        <x:v>Uses open standards</x:v>
      </x:c>
      <x:c r="M74" s="3" t="str">
        <x:v>Yes</x:v>
      </x:c>
      <x:c r="N74" s="3" t="str">
        <x:v>N/A</x:v>
      </x:c>
      <x:c r="O74" s="3" t="str">
        <x:v>Open source and public apps</x:v>
      </x:c>
      <x:c r="P74" s="3" t="str">
        <x:v>MIT</x:v>
      </x:c>
      <x:c r="Q74" s="3" t="str">
        <x:v>Pilot / implementation evidence</x:v>
      </x:c>
      <x:c r="R74" s="3" t="str">
        <x:v>University pilots demonstrate feasibility; broad admissions/employer recognition remains limited.</x:v>
      </x:c>
      <x:c r="S74" s="3" t="str">
        <x:v>University consortium; now in open wallet foundation ecosystem</x:v>
      </x:c>
      <x:c r="T74" s="3" t="str">
        <x:v>Learner agency, institutional autonomy and reduced lock-in</x:v>
      </x:c>
      <x:c r="U74" s="3" t="str">
        <x:v>Key recovery, accessibility, trust registries and selective disclosure remain maturity issues</x:v>
      </x:c>
      <x:c r="V74" s="3" t="str">
        <x:v>Portable wallet technology does not create acceptance ecosystems by itself.</x:v>
      </x:c>
      <x:c r="W74" s="3" t="str">
        <x:v>Strong open credential implementation</x:v>
      </x:c>
      <x:c r="X74" s="3" t="str">
        <x:v>High on existence; lower on effects</x:v>
      </x:c>
      <x:c r="Y74" s="3" t="str">
        <x:v>https://digitalcredentials.mit.edu/our-work</x:v>
      </x:c>
      <x:c r="Z74" s="3" t="str">
        <x:v>https://github.com/openwallet-foundation-labs/learner-credential-wallet</x:v>
      </x:c>
      <x:c r="AA74" s="9" t="n">
        <x:v>46268</x:v>
      </x:c>
      <x:c r="AB74" s="3" t="str">
        <x:v>Yes</x:v>
      </x:c>
      <x:c r="AC74" s="9" t="n">
        <x:v>46268</x:v>
      </x:c>
      <x:c r="AD74" s="3" t="str"/>
      <x:c r="AE74" s="11" t="n">
        <x:f>COUNTIF('Sources'!$A$6:$A$196,A74)</x:f>
        <x:v>2</x:v>
      </x:c>
    </x:row>
    <x:row r="75" ht="51" customHeight="1">
      <x:c r="A75" s="3" t="str">
        <x:v>P070</x:v>
      </x:c>
      <x:c r="B75" s="3" t="str">
        <x:v>OpenCerts 3 / TrustVC</x:v>
      </x:c>
      <x:c r="C75" s="3" t="str">
        <x:v>Education × open standards</x:v>
      </x:c>
      <x:c r="D75" s="3" t="str">
        <x:v>National credential verification</x:v>
      </x:c>
      <x:c r="E75" s="3" t="str">
        <x:v>Singapore IMDA / OpenCerts ecosystem</x:v>
      </x:c>
      <x:c r="F75" s="3" t="str">
        <x:v>Asia</x:v>
      </x:c>
      <x:c r="G75" s="3" t="str">
        <x:v>Singapore</x:v>
      </x:c>
      <x:c r="H75" s="3" t="str">
        <x:v>Operational; migrating from OpenAttestation to TrustVC in 2025–26</x:v>
      </x:c>
      <x:c r="I75" s="3" t="str">
        <x:v>Education issuers, graduates, employers and verifiers</x:v>
      </x:c>
      <x:c r="J75" s="3" t="str">
        <x:v>National verification service and VC issuance/verification tooling</x:v>
      </x:c>
      <x:c r="K75" s="3" t="str">
        <x:v>W3C VC 2.0, did:web, data-integrity proofs and status lists</x:v>
      </x:c>
      <x:c r="L75" s="3" t="str">
        <x:v>Uses open standards</x:v>
      </x:c>
      <x:c r="M75" s="3" t="str">
        <x:v>Yes</x:v>
      </x:c>
      <x:c r="N75" s="3" t="str">
        <x:v>N/A</x:v>
      </x:c>
      <x:c r="O75" s="3" t="str">
        <x:v>Public verifier; issuer integration</x:v>
      </x:c>
      <x:c r="P75" s="3" t="str">
        <x:v>Legacy web code Apache-2.0; check each TrustVC repo</x:v>
      </x:c>
      <x:c r="Q75" s="3" t="str">
        <x:v>Operational adoption evidence</x:v>
      </x:c>
      <x:c r="R75" s="3" t="str">
        <x:v>National verifier and government stewardship are strong; version-sensitive migration complicates continuity.</x:v>
      </x:c>
      <x:c r="S75" s="3" t="str">
        <x:v>Government-backed open-source infrastructure</x:v>
      </x:c>
      <x:c r="T75" s="3" t="str">
        <x:v>Fast, tamper-evident credential verification</x:v>
      </x:c>
      <x:c r="U75" s="3" t="str">
        <x:v>Off-chain status lists and identifiers need correlation analysis</x:v>
      </x:c>
      <x:c r="V75" s="3" t="str">
        <x:v>OpenAttestation and TrustVC formats are not interchangeable without migration work.</x:v>
      </x:c>
      <x:c r="W75" s="3" t="str">
        <x:v>National open-credential case</x:v>
      </x:c>
      <x:c r="X75" s="3" t="str">
        <x:v>High on existence; lower on effects</x:v>
      </x:c>
      <x:c r="Y75" s="3" t="str">
        <x:v>https://www.opencerts.io/faq/</x:v>
      </x:c>
      <x:c r="Z75" s="3" t="str">
        <x:v>https://github.com/TrustVC/trustvc</x:v>
      </x:c>
      <x:c r="AA75" s="9" t="n">
        <x:v>46268</x:v>
      </x:c>
      <x:c r="AB75" s="3" t="str">
        <x:v>Yes / repository-specific</x:v>
      </x:c>
      <x:c r="AC75" s="9" t="n">
        <x:v>46268</x:v>
      </x:c>
      <x:c r="AD75" s="3" t="str"/>
      <x:c r="AE75" s="11" t="n">
        <x:f>COUNTIF('Sources'!$A$6:$A$196,A75)</x:f>
        <x:v>2</x:v>
      </x:c>
    </x:row>
    <x:row r="76" ht="51" customHeight="1">
      <x:c r="A76" s="3" t="str">
        <x:v>P071</x:v>
      </x:c>
      <x:c r="B76" s="3" t="str">
        <x:v>EMREX / ELMO</x:v>
      </x:c>
      <x:c r="C76" s="3" t="str">
        <x:v>Education × open standards</x:v>
      </x:c>
      <x:c r="D76" s="3" t="str">
        <x:v>Learner-mediated results exchange</x:v>
      </x:c>
      <x:c r="E76" s="3" t="str">
        <x:v>EMREX network and national education systems</x:v>
      </x:c>
      <x:c r="F76" s="3" t="str">
        <x:v>Europe</x:v>
      </x:c>
      <x:c r="G76" s="3" t="str">
        <x:v>European countries plus Chile</x:v>
      </x:c>
      <x:c r="H76" s="3" t="str">
        <x:v>Operational network</x:v>
      </x:c>
      <x:c r="I76" s="3" t="str">
        <x:v>Learners, universities and national student-information systems</x:v>
      </x:c>
      <x:c r="J76" s="3" t="str">
        <x:v>Decentralised transfer of diplomas/results through national clients and contact points</x:v>
      </x:c>
      <x:c r="K76" s="3" t="str">
        <x:v>ELMO XML; central registry for discovery</x:v>
      </x:c>
      <x:c r="L76" s="3" t="str">
        <x:v>Yes / public technical architecture</x:v>
      </x:c>
      <x:c r="M76" s="3" t="str">
        <x:v>Yes</x:v>
      </x:c>
      <x:c r="N76" s="3" t="str">
        <x:v>N/A</x:v>
      </x:c>
      <x:c r="O76" s="3" t="str">
        <x:v>Network participation</x:v>
      </x:c>
      <x:c r="P76" s="3" t="str">
        <x:v>EUPL-1.2 for core schema; other repositories vary</x:v>
      </x:c>
      <x:c r="Q76" s="3" t="str">
        <x:v>Operational network evidence</x:v>
      </x:c>
      <x:c r="R76" s="3" t="str">
        <x:v>Named countries and production integrations; public transaction-volume evidence is limited.</x:v>
      </x:c>
      <x:c r="S76" s="3" t="str">
        <x:v>Cross-country network with national nodes</x:v>
      </x:c>
      <x:c r="T76" s="3" t="str">
        <x:v>Learner-controlled cross-border mobility and minimised centralisation</x:v>
      </x:c>
      <x:c r="U76" s="3" t="str">
        <x:v>Learner-mediated transfer reduces central storage; national identity integrations remain sensitive</x:v>
      </x:c>
      <x:c r="V76" s="3" t="str">
        <x:v>ELMO XML and newer European Learning Model are related but not interchangeable.</x:v>
      </x:c>
      <x:c r="W76" s="3" t="str">
        <x:v>Mature mobility infrastructure</x:v>
      </x:c>
      <x:c r="X76" s="3" t="str">
        <x:v>High on existence; lower on effects</x:v>
      </x:c>
      <x:c r="Y76" s="3" t="str">
        <x:v>https://emrex.eu/technical/</x:v>
      </x:c>
      <x:c r="Z76" s="3" t="str">
        <x:v>https://github.com/emrex-eu/elmo-schemas</x:v>
      </x:c>
      <x:c r="AA76" s="9" t="n">
        <x:v>46268</x:v>
      </x:c>
      <x:c r="AB76" s="3" t="str">
        <x:v>Yes / repositories vary</x:v>
      </x:c>
      <x:c r="AC76" s="9" t="n">
        <x:v>46268</x:v>
      </x:c>
      <x:c r="AD76" s="3" t="str"/>
      <x:c r="AE76" s="11" t="n">
        <x:f>COUNTIF('Sources'!$A$6:$A$196,A76)</x:f>
        <x:v>2</x:v>
      </x:c>
    </x:row>
    <x:row r="77" ht="51" customHeight="1">
      <x:c r="A77" s="3" t="str">
        <x:v>P072</x:v>
      </x:c>
      <x:c r="B77" s="3" t="str">
        <x:v>Erasmus Without Paper</x:v>
      </x:c>
      <x:c r="C77" s="3" t="str">
        <x:v>Education × open standards</x:v>
      </x:c>
      <x:c r="D77" s="3" t="str">
        <x:v>Mobility administration APIs</x:v>
      </x:c>
      <x:c r="E77" s="3" t="str">
        <x:v>European Commission / Erasmus+ ecosystem</x:v>
      </x:c>
      <x:c r="F77" s="3" t="str">
        <x:v>Europe</x:v>
      </x:c>
      <x:c r="G77" s="3" t="str">
        <x:v>EU and associated countries</x:v>
      </x:c>
      <x:c r="H77" s="3" t="str">
        <x:v>Operational network; adoption still uneven</x:v>
      </x:c>
      <x:c r="I77" s="3" t="str">
        <x:v>Higher-education institutions and mobile students</x:v>
      </x:c>
      <x:c r="J77" s="3" t="str">
        <x:v>Registry-backed APIs for agreements, nominations and learning agreements</x:v>
      </x:c>
      <x:c r="K77" s="3" t="str">
        <x:v>EWP API specifications and registry</x:v>
      </x:c>
      <x:c r="L77" s="3" t="str">
        <x:v>Yes</x:v>
      </x:c>
      <x:c r="M77" s="3" t="str">
        <x:v>Partial / unresolved</x:v>
      </x:c>
      <x:c r="N77" s="3" t="str">
        <x:v>N/A</x:v>
      </x:c>
      <x:c r="O77" s="3" t="str">
        <x:v>Network participation</x:v>
      </x:c>
      <x:c r="P77" s="3" t="str">
        <x:v>Core specifications/code commonly MIT or public; verify components</x:v>
      </x:c>
      <x:c r="Q77" s="3" t="str">
        <x:v>Operational adoption evidence</x:v>
      </x:c>
      <x:c r="R77" s="3" t="str">
        <x:v>Majority institutional uptake reported, while digitalisation targets and coverage gaps remain.</x:v>
      </x:c>
      <x:c r="S77" s="3" t="str">
        <x:v>EU programme with providers and institutional network</x:v>
      </x:c>
      <x:c r="T77" s="3" t="str">
        <x:v>Reduce administrative burden and support student mobility</x:v>
      </x:c>
      <x:c r="U77" s="3" t="str">
        <x:v>GDPR framing; identity matching and resilience depend on connected systems</x:v>
      </x:c>
      <x:c r="V77" s="3" t="str">
        <x:v>Reported connection does not always mean all workflows are fully interoperable.</x:v>
      </x:c>
      <x:c r="W77" s="3" t="str">
        <x:v>Large-scale public API network</x:v>
      </x:c>
      <x:c r="X77" s="3" t="str">
        <x:v>High on existence; lower on effects</x:v>
      </x:c>
      <x:c r="Y77" s="3" t="str">
        <x:v>https://developers.erasmuswithoutpaper.eu/</x:v>
      </x:c>
      <x:c r="Z77" s="3" t="str">
        <x:v>https://erasmus-plus.ec.europa.eu/european-student-card-initiative/about/esci-uptake-rates-and-trends</x:v>
      </x:c>
      <x:c r="AA77" s="9" t="n">
        <x:v>46268</x:v>
      </x:c>
      <x:c r="AB77" s="3" t="str">
        <x:v>Reference registry/spec repositories public</x:v>
      </x:c>
      <x:c r="AC77" s="9" t="n">
        <x:v>46268</x:v>
      </x:c>
      <x:c r="AD77" s="3" t="str"/>
      <x:c r="AE77" s="11" t="n">
        <x:f>COUNTIF('Sources'!$A$6:$A$196,A77)</x:f>
        <x:v>2</x:v>
      </x:c>
    </x:row>
    <x:row r="78" ht="38" customHeight="1">
      <x:c r="A78" s="3" t="str">
        <x:v>P073</x:v>
      </x:c>
      <x:c r="B78" s="3" t="str">
        <x:v>eduGAIN + eduPerson</x:v>
      </x:c>
      <x:c r="C78" s="3" t="str">
        <x:v>Education × open standards</x:v>
      </x:c>
      <x:c r="D78" s="3" t="str">
        <x:v>Federated research/education identity</x:v>
      </x:c>
      <x:c r="E78" s="3" t="str">
        <x:v>GÉANT, national federations, REFEDS and schema maintainers</x:v>
      </x:c>
      <x:c r="F78" s="3" t="str">
        <x:v>Global</x:v>
      </x:c>
      <x:c r="G78" s="3" t="str">
        <x:v>Global research and education</x:v>
      </x:c>
      <x:c r="H78" s="3" t="str">
        <x:v>Mature operational federation</x:v>
      </x:c>
      <x:c r="I78" s="3" t="str">
        <x:v>Institutions, researchers, students and online services</x:v>
      </x:c>
      <x:c r="J78" s="3" t="str">
        <x:v>Federation metadata exchange and standard identity/affiliation/entitlement attributes</x:v>
      </x:c>
      <x:c r="K78" s="3" t="str">
        <x:v>SAML federation profiles; eduPerson LDAP schema</x:v>
      </x:c>
      <x:c r="L78" s="3" t="str">
        <x:v>Yes / public profiles and schemas</x:v>
      </x:c>
      <x:c r="M78" s="3" t="str">
        <x:v>No / unclear</x:v>
      </x:c>
      <x:c r="N78" s="3" t="str">
        <x:v>N/A</x:v>
      </x:c>
      <x:c r="O78" s="3" t="str">
        <x:v>Through national/institutional federations</x:v>
      </x:c>
      <x:c r="P78" s="3" t="str">
        <x:v>Component-specific</x:v>
      </x:c>
      <x:c r="Q78" s="3" t="str">
        <x:v>Operational scale evidence</x:v>
      </x:c>
      <x:c r="R78" s="3" t="str">
        <x:v>GÉANT 2025 reports 83 members and about 10,100 entities; strong operational maturity.</x:v>
      </x:c>
      <x:c r="S78" s="3" t="str">
        <x:v>Layered global federation with national operators</x:v>
      </x:c>
      <x:c r="T78" s="3" t="str">
        <x:v>Home-institution authentication for public research and education</x:v>
      </x:c>
      <x:c r="U78" s="3" t="str">
        <x:v>Attribute release, identifiers and logs require minimisation</x:v>
      </x:c>
      <x:c r="V78" s="3" t="str">
        <x:v>SAML/LDAP are mature but ageing; OIDC/protocol-neutral mapping remains incomplete.</x:v>
      </x:c>
      <x:c r="W78" s="3" t="str">
        <x:v>Foundational identity infrastructure</x:v>
      </x:c>
      <x:c r="X78" s="3" t="str">
        <x:v>High on existence; lower on effects</x:v>
      </x:c>
      <x:c r="Y78" s="3" t="str">
        <x:v>https://wiki.refeds.org/display/STAN/eduPerson%2B2021-11</x:v>
      </x:c>
      <x:c r="Z78" s="3" t="str">
        <x:v>https://ar.geant.org/ar2025/</x:v>
      </x:c>
      <x:c r="AA78" s="9" t="n">
        <x:v>46268</x:v>
      </x:c>
      <x:c r="AB78" s="3" t="str">
        <x:v>Implementations vary; many open</x:v>
      </x:c>
      <x:c r="AC78" s="9" t="n">
        <x:v>46268</x:v>
      </x:c>
      <x:c r="AD78" s="3" t="str"/>
      <x:c r="AE78" s="11" t="n">
        <x:f>COUNTIF('Sources'!$A$6:$A$196,A78)</x:f>
        <x:v>2</x:v>
      </x:c>
    </x:row>
    <x:row r="79" ht="38" customHeight="1">
      <x:c r="A79" s="3" t="str">
        <x:v>P074</x:v>
      </x:c>
      <x:c r="B79" s="3" t="str">
        <x:v>eduroam</x:v>
      </x:c>
      <x:c r="C79" s="3" t="str">
        <x:v>Education × open standards</x:v>
      </x:c>
      <x:c r="D79" s="3" t="str">
        <x:v>Federated network access</x:v>
      </x:c>
      <x:c r="E79" s="3" t="str">
        <x:v>GÉANT and national research/education networks</x:v>
      </x:c>
      <x:c r="F79" s="3" t="str">
        <x:v>Global</x:v>
      </x:c>
      <x:c r="G79" s="3" t="str">
        <x:v>112 territories reported in 2025</x:v>
      </x:c>
      <x:c r="H79" s="3" t="str">
        <x:v>Mature global service</x:v>
      </x:c>
      <x:c r="I79" s="3" t="str">
        <x:v>Students, educators and researchers</x:v>
      </x:c>
      <x:c r="J79" s="3" t="str">
        <x:v>Seamless roaming Wi-Fi authentication through home institutions</x:v>
      </x:c>
      <x:c r="K79" s="3" t="str">
        <x:v>802.1X, EAP and RADIUS</x:v>
      </x:c>
      <x:c r="L79" s="3" t="str">
        <x:v>Uses open network standards</x:v>
      </x:c>
      <x:c r="M79" s="3" t="str">
        <x:v>No / unclear</x:v>
      </x:c>
      <x:c r="N79" s="3" t="str">
        <x:v>N/A</x:v>
      </x:c>
      <x:c r="O79" s="3" t="str">
        <x:v>Institutional federation service</x:v>
      </x:c>
      <x:c r="P79" s="3" t="str">
        <x:v>Layered implementations and policies</x:v>
      </x:c>
      <x:c r="Q79" s="3" t="str">
        <x:v>Operational scale evidence</x:v>
      </x:c>
      <x:c r="R79" s="3" t="str">
        <x:v>About 45,000 locations and billions of annual authentications reported by GÉANT.</x:v>
      </x:c>
      <x:c r="S79" s="3" t="str">
        <x:v>Layered international public research-network governance</x:v>
      </x:c>
      <x:c r="T79" s="3" t="str">
        <x:v>Low-friction connectivity for education and research</x:v>
      </x:c>
      <x:c r="U79" s="3" t="str">
        <x:v>Identity metadata and RADIUS logs require careful policy</x:v>
      </x:c>
      <x:c r="V79" s="3" t="str">
        <x:v>Open protocols do not make the whole federation one open-source product.</x:v>
      </x:c>
      <x:c r="W79" s="3" t="str">
        <x:v>Global public digital infrastructure</x:v>
      </x:c>
      <x:c r="X79" s="3" t="str">
        <x:v>High on existence; lower on effects</x:v>
      </x:c>
      <x:c r="Y79" s="3" t="str">
        <x:v>https://ar.geant.org/ar2025/</x:v>
      </x:c>
      <x:c r="Z79" s="3" t="str">
        <x:v>https://interoperable-europe.ec.europa.eu/collection/open-source-observatory-osor/solutions-month</x:v>
      </x:c>
      <x:c r="AA79" s="9" t="n">
        <x:v>46268</x:v>
      </x:c>
      <x:c r="AB79" s="3" t="str">
        <x:v>Open-source components available</x:v>
      </x:c>
      <x:c r="AC79" s="9" t="n">
        <x:v>46268</x:v>
      </x:c>
      <x:c r="AD79" s="3" t="str"/>
      <x:c r="AE79" s="11" t="n">
        <x:f>COUNTIF('Sources'!$A$6:$A$196,A79)</x:f>
        <x:v>2</x:v>
      </x:c>
    </x:row>
    <x:row r="80" ht="51" customHeight="1">
      <x:c r="A80" s="3" t="str">
        <x:v>P075</x:v>
      </x:c>
      <x:c r="B80" s="3" t="str">
        <x:v>Learning Resource Metadata Initiative (LRMI)</x:v>
      </x:c>
      <x:c r="C80" s="3" t="str">
        <x:v>Education × open standards</x:v>
      </x:c>
      <x:c r="D80" s="3" t="str">
        <x:v>Learning-resource metadata</x:v>
      </x:c>
      <x:c r="E80" s="3" t="str">
        <x:v>Dublin Core Metadata Initiative with Schema.org participation</x:v>
      </x:c>
      <x:c r="F80" s="3" t="str">
        <x:v>Global</x:v>
      </x:c>
      <x:c r="G80" s="3" t="str">
        <x:v>Global</x:v>
      </x:c>
      <x:c r="H80" s="3" t="str">
        <x:v>Stable, community-maintained vocabulary</x:v>
      </x:c>
      <x:c r="I80" s="3" t="str">
        <x:v>Repositories, publishers, search engines and learning platforms</x:v>
      </x:c>
      <x:c r="J80" s="3" t="str">
        <x:v>RDF-compatible properties for resources, audiences, alignments and educational characteristics</x:v>
      </x:c>
      <x:c r="K80" s="3" t="str">
        <x:v>LRMI / Schema.org LearningResource terms</x:v>
      </x:c>
      <x:c r="L80" s="3" t="str">
        <x:v>Yes / public vocabulary</x:v>
      </x:c>
      <x:c r="M80" s="3" t="str">
        <x:v>N/A</x:v>
      </x:c>
      <x:c r="N80" s="3" t="str">
        <x:v>Metadata implementations vary</x:v>
      </x:c>
      <x:c r="O80" s="3" t="str">
        <x:v>Free public specification</x:v>
      </x:c>
      <x:c r="P80" s="3" t="str">
        <x:v>Check DCMI and Schema.org artefact terms</x:v>
      </x:c>
      <x:c r="Q80" s="3" t="str">
        <x:v>Implementation / discoverability evidence</x:v>
      </x:c>
      <x:c r="R80" s="3" t="str">
        <x:v>Influence through Schema.org and repositories; current implementation counts and metadata-quality evidence are sparse.</x:v>
      </x:c>
      <x:c r="S80" s="3" t="str">
        <x:v>Nonprofit metadata standards community</x:v>
      </x:c>
      <x:c r="T80" s="3" t="str">
        <x:v>Resource discovery and portable descriptive metadata</x:v>
      </x:c>
      <x:c r="U80" s="3" t="str">
        <x:v>Primarily resource metadata; low personal-data exposure</x:v>
      </x:c>
      <x:c r="V80" s="3" t="str">
        <x:v>Metadata presence does not establish resource quality, accessibility or open licensing.</x:v>
      </x:c>
      <x:c r="W80" s="3" t="str">
        <x:v>Foundational content-metadata standard</x:v>
      </x:c>
      <x:c r="X80" s="3" t="str">
        <x:v>High on existence; lower on effects</x:v>
      </x:c>
      <x:c r="Y80" s="3" t="str">
        <x:v>https://www.dublincore.org/about/lrmi/</x:v>
      </x:c>
      <x:c r="Z80" s="3" t="str">
        <x:v>https://www.dublincore.org/specifications/lrmi/</x:v>
      </x:c>
      <x:c r="AA80" s="9" t="n">
        <x:v>46268</x:v>
      </x:c>
      <x:c r="AB80" s="3" t="str">
        <x:v>N/A</x:v>
      </x:c>
      <x:c r="AC80" s="9" t="n">
        <x:v>46268</x:v>
      </x:c>
      <x:c r="AD80" s="3" t="str"/>
      <x:c r="AE80" s="11" t="n">
        <x:f>COUNTIF('Sources'!$A$6:$A$196,A80)</x:f>
        <x:v>2</x:v>
      </x:c>
    </x:row>
    <x:row r="81" ht="38" customHeight="1">
      <x:c r="A81" s="3" t="str">
        <x:v>P076</x:v>
      </x:c>
      <x:c r="B81" s="3" t="str">
        <x:v>OAI-PMH</x:v>
      </x:c>
      <x:c r="C81" s="3" t="str">
        <x:v>Education × open standards</x:v>
      </x:c>
      <x:c r="D81" s="3" t="str">
        <x:v>Repository metadata harvesting</x:v>
      </x:c>
      <x:c r="E81" s="3" t="str">
        <x:v>Open Archives Initiative</x:v>
      </x:c>
      <x:c r="F81" s="3" t="str">
        <x:v>Global</x:v>
      </x:c>
      <x:c r="G81" s="3" t="str">
        <x:v>Global repositories and libraries</x:v>
      </x:c>
      <x:c r="H81" s="3" t="str">
        <x:v>Stable v2.0 since 2002; maintenance only</x:v>
      </x:c>
      <x:c r="I81" s="3" t="str">
        <x:v>Repositories, libraries, OER and scholarly services</x:v>
      </x:c>
      <x:c r="J81" s="3" t="str">
        <x:v>Six HTTP/XML verbs for metadata harvesting</x:v>
      </x:c>
      <x:c r="K81" s="3" t="str">
        <x:v>Open Archives Initiative Protocol for Metadata Harvesting</x:v>
      </x:c>
      <x:c r="L81" s="3" t="str">
        <x:v>Yes</x:v>
      </x:c>
      <x:c r="M81" s="3" t="str">
        <x:v>No / unclear</x:v>
      </x:c>
      <x:c r="N81" s="3" t="str">
        <x:v>Metadata may be open while content is not</x:v>
      </x:c>
      <x:c r="O81" s="3" t="str">
        <x:v>Public specification</x:v>
      </x:c>
      <x:c r="P81" s="3" t="str">
        <x:v>OAI terms; implementation-specific</x:v>
      </x:c>
      <x:c r="Q81" s="3" t="str">
        <x:v>Long-running adoption evidence</x:v>
      </x:c>
      <x:c r="R81" s="3" t="str">
        <x:v>Widespread repository use and longevity; no current global deployment census.</x:v>
      </x:c>
      <x:c r="S81" s="3" t="str">
        <x:v>Open Archives Initiative maintains specifications but launches no new projects</x:v>
      </x:c>
      <x:c r="T81" s="3" t="str">
        <x:v>Federated discovery without centralising all content</x:v>
      </x:c>
      <x:c r="U81" s="3" t="str">
        <x:v>Usually public metadata; records can still expose sensitive context</x:v>
      </x:c>
      <x:c r="V81" s="3" t="str">
        <x:v>Batch XML harvesting is not real-time, and exposed metadata does not imply OER.</x:v>
      </x:c>
      <x:c r="W81" s="3" t="str">
        <x:v>Foundational repository protocol</x:v>
      </x:c>
      <x:c r="X81" s="3" t="str">
        <x:v>High on existence; lower on effects</x:v>
      </x:c>
      <x:c r="Y81" s="3" t="str">
        <x:v>https://www.openarchives.org/pmh/</x:v>
      </x:c>
      <x:c r="Z81" s="3" t="str">
        <x:v>https://www.openarchives.org/OAI/openarchivesprotocol.html</x:v>
      </x:c>
      <x:c r="AA81" s="9" t="n">
        <x:v>46268</x:v>
      </x:c>
      <x:c r="AB81" s="3" t="str">
        <x:v>Implementations vary</x:v>
      </x:c>
      <x:c r="AC81" s="9" t="n">
        <x:v>46268</x:v>
      </x:c>
      <x:c r="AD81" s="3" t="str"/>
      <x:c r="AE81" s="11" t="n">
        <x:f>COUNTIF('Sources'!$A$6:$A$196,A81)</x:f>
        <x:v>2</x:v>
      </x:c>
    </x:row>
    <x:row r="82" ht="51" customHeight="1">
      <x:c r="A82" s="3" t="str">
        <x:v>P077</x:v>
      </x:c>
      <x:c r="B82" s="3" t="str">
        <x:v>H5P content format and libraries</x:v>
      </x:c>
      <x:c r="C82" s="3" t="str">
        <x:v>Education × open standards</x:v>
      </x:c>
      <x:c r="D82" s="3" t="str">
        <x:v>Portable interactive learning content</x:v>
      </x:c>
      <x:c r="E82" s="3" t="str">
        <x:v>H5P Group and community</x:v>
      </x:c>
      <x:c r="F82" s="3" t="str">
        <x:v>Global</x:v>
      </x:c>
      <x:c r="G82" s="3" t="str">
        <x:v>Global</x:v>
      </x:c>
      <x:c r="H82" s="3" t="str">
        <x:v>Mature de facto format and platform ecosystem</x:v>
      </x:c>
      <x:c r="I82" s="3" t="str">
        <x:v>Teachers, content authors, LMSs and learners</x:v>
      </x:c>
      <x:c r="J82" s="3" t="str">
        <x:v>.h5p package, content JSON, reusable libraries, semantic definitions and LMS integrations</x:v>
      </x:c>
      <x:c r="K82" s="3" t="str">
        <x:v>H5P format; LTI integration available</x:v>
      </x:c>
      <x:c r="L82" s="3" t="str">
        <x:v>Public de facto specification</x:v>
      </x:c>
      <x:c r="M82" s="3" t="str">
        <x:v>Yes</x:v>
      </x:c>
      <x:c r="N82" s="3" t="str">
        <x:v>Content licences vary; commercial H5P.com separate</x:v>
      </x:c>
      <x:c r="O82" s="3" t="str">
        <x:v>Self-hosted open source plus paid hosted service</x:v>
      </x:c>
      <x:c r="P82" s="3" t="str">
        <x:v>Core commonly MIT; library/content licences vary</x:v>
      </x:c>
      <x:c r="Q82" s="3" t="str">
        <x:v>Adoption / implementation evidence</x:v>
      </x:c>
      <x:c r="R82" s="3" t="str">
        <x:v>Broad platform integration; no independent installed-base or learning-effect census.</x:v>
      </x:c>
      <x:c r="S82" s="3" t="str">
        <x:v>Company/community-led, not a formal multi-stakeholder standards body</x:v>
      </x:c>
      <x:c r="T82" s="3" t="str">
        <x:v>Create, share and reuse interactive content</x:v>
      </x:c>
      <x:c r="U82" s="3" t="str">
        <x:v>Depends on host, LTI setup, analytics and content type</x:v>
      </x:c>
      <x:c r="V82" s="3" t="str">
        <x:v>Open format/framework does not make every activity or hosted service open.</x:v>
      </x:c>
      <x:c r="W82" s="3" t="str">
        <x:v>Important de facto content format</x:v>
      </x:c>
      <x:c r="X82" s="3" t="str">
        <x:v>High on existence; lower on effects</x:v>
      </x:c>
      <x:c r="Y82" s="3" t="str">
        <x:v>https://h5p.org/documentation/developers/h5p-specification</x:v>
      </x:c>
      <x:c r="Z82" s="3" t="str">
        <x:v>https://h5p.org/content-types-and-applications</x:v>
      </x:c>
      <x:c r="AA82" s="9" t="n">
        <x:v>46268</x:v>
      </x:c>
      <x:c r="AB82" s="3" t="str">
        <x:v>Yes for core/many content types</x:v>
      </x:c>
      <x:c r="AC82" s="9" t="n">
        <x:v>46268</x:v>
      </x:c>
      <x:c r="AD82" s="3" t="str"/>
      <x:c r="AE82" s="11" t="n">
        <x:f>COUNTIF('Sources'!$A$6:$A$196,A82)</x:f>
        <x:v>2</x:v>
      </x:c>
    </x:row>
    <x:row r="83" ht="51" customHeight="1">
      <x:c r="A83" s="3" t="str">
        <x:v>P078</x:v>
      </x:c>
      <x:c r="B83" s="3" t="str">
        <x:v>Sunbird + DIKSHA</x:v>
      </x:c>
      <x:c r="C83" s="3" t="str">
        <x:v>Education × open standards</x:v>
      </x:c>
      <x:c r="D83" s="3" t="str">
        <x:v>Modular education digital public infrastructure</x:v>
      </x:c>
      <x:c r="E83" s="3" t="str">
        <x:v>EkStep Foundation / Sunbird community and India Ministry of Education / NCERT</x:v>
      </x:c>
      <x:c r="F83" s="3" t="str">
        <x:v>Asia</x:v>
      </x:c>
      <x:c r="G83" s="3" t="str">
        <x:v>India with international reuse</x:v>
      </x:c>
      <x:c r="H83" s="3" t="str">
        <x:v>Scaled national deployment; Sunbird verified DPG</x:v>
      </x:c>
      <x:c r="I83" s="3" t="str">
        <x:v>Ministries, teachers, learners, content providers and developers</x:v>
      </x:c>
      <x:c r="J83" s="3" t="str">
        <x:v>Modular education services, APIs, content discovery, QR textbooks, telemetry and teacher development</x:v>
      </x:c>
      <x:c r="K83" s="3" t="str">
        <x:v>Public APIs and modular building blocks; interoperability is platform-led</x:v>
      </x:c>
      <x:c r="L83" s="3" t="str">
        <x:v>Yes / public APIs</x:v>
      </x:c>
      <x:c r="M83" s="3" t="str">
        <x:v>Yes</x:v>
      </x:c>
      <x:c r="N83" s="3" t="str">
        <x:v>Content licences vary by contributor/deployment</x:v>
      </x:c>
      <x:c r="O83" s="3" t="str">
        <x:v>Open platform; national service free to users</x:v>
      </x:c>
      <x:c r="P83" s="3" t="str">
        <x:v>Predominantly MIT; content and services vary</x:v>
      </x:c>
      <x:c r="Q83" s="3" t="str">
        <x:v>Operational scale evidence</x:v>
      </x:c>
      <x:c r="R83" s="3" t="str">
        <x:v>Very large downloads/language support reported; active use and learning effects are not established by reach.</x:v>
      </x:c>
      <x:c r="S83" s="3" t="str">
        <x:v>Public-sector implementation on nonprofit/open-source infrastructure</x:v>
      </x:c>
      <x:c r="T83" s="3" t="str">
        <x:v>Scale, language access and sovereign digital infrastructure</x:v>
      </x:c>
      <x:c r="U83" s="3" t="str">
        <x:v>Telemetry, content governance and state customisations require local review</x:v>
      </x:c>
      <x:c r="V83" s="3" t="str">
        <x:v>DPG status and downloads are not evidence of instructional effectiveness.</x:v>
      </x:c>
      <x:c r="W83" s="3" t="str">
        <x:v>Major education DPI</x:v>
      </x:c>
      <x:c r="X83" s="3" t="str">
        <x:v>High on existence; lower on effects</x:v>
      </x:c>
      <x:c r="Y83" s="3" t="str">
        <x:v>https://www.digitalpublicgoods.net/r/sunbird</x:v>
      </x:c>
      <x:c r="Z83" s="3" t="str">
        <x:v>https://www.digitalindia.gov.in/initiative/diksha/</x:v>
      </x:c>
      <x:c r="AA83" s="9" t="n">
        <x:v>46268</x:v>
      </x:c>
      <x:c r="AB83" s="3" t="str">
        <x:v>Yes</x:v>
      </x:c>
      <x:c r="AC83" s="9" t="n">
        <x:v>46268</x:v>
      </x:c>
      <x:c r="AD83" s="3" t="str"/>
      <x:c r="AE83" s="11" t="n">
        <x:f>COUNTIF('Sources'!$A$6:$A$196,A83)</x:f>
        <x:v>2</x:v>
      </x:c>
    </x:row>
    <x:row r="84" ht="51" customHeight="1">
      <x:c r="A84" s="3" t="str">
        <x:v>P079</x:v>
      </x:c>
      <x:c r="B84" s="3" t="str">
        <x:v>Kolibri</x:v>
      </x:c>
      <x:c r="C84" s="3" t="str">
        <x:v>Education × open standards</x:v>
      </x:c>
      <x:c r="D84" s="3" t="str">
        <x:v>Offline-first open learning platform</x:v>
      </x:c>
      <x:c r="E84" s="3" t="str">
        <x:v>Learning Equality</x:v>
      </x:c>
      <x:c r="F84" s="3" t="str">
        <x:v>Global</x:v>
      </x:c>
      <x:c r="G84" s="3" t="str">
        <x:v>Global low-connectivity contexts</x:v>
      </x:c>
      <x:c r="H84" s="3" t="str">
        <x:v>Mature active platform; verified DPG</x:v>
      </x:c>
      <x:c r="I84" s="3" t="str">
        <x:v>Learners, educators, ministries and humanitarian/development programmes</x:v>
      </x:c>
      <x:c r="J84" s="3" t="str">
        <x:v>Local-server/device content distribution, curation and synchronisation</x:v>
      </x:c>
      <x:c r="K84" s="3" t="str">
        <x:v>APIs and content-channel model; formal standards use varies</x:v>
      </x:c>
      <x:c r="L84" s="3" t="str">
        <x:v>Public architecture</x:v>
      </x:c>
      <x:c r="M84" s="3" t="str">
        <x:v>Yes</x:v>
      </x:c>
      <x:c r="N84" s="3" t="str">
        <x:v>Third-party content retains its licences</x:v>
      </x:c>
      <x:c r="O84" s="3" t="str">
        <x:v>Free/open self-hosted</x:v>
      </x:c>
      <x:c r="P84" s="3" t="str">
        <x:v>MIT code</x:v>
      </x:c>
      <x:c r="Q84" s="3" t="str">
        <x:v>Operational / implementation evidence</x:v>
      </x:c>
      <x:c r="R84" s="3" t="str">
        <x:v>Very broad country/language reach reported; active learners and outcome evidence vary by deployment.</x:v>
      </x:c>
      <x:c r="S84" s="3" t="str">
        <x:v>Education nonprofit with DPG review</x:v>
      </x:c>
      <x:c r="T84" s="3" t="str">
        <x:v>Right-to-education mission and offline access</x:v>
      </x:c>
      <x:c r="U84" s="3" t="str">
        <x:v>Local/offline operation can reduce exposure; deployment configuration still matters</x:v>
      </x:c>
      <x:c r="V84" s="3" t="str">
        <x:v>Hardware, facilitation, local relevance and content licensing constrain impact.</x:v>
      </x:c>
      <x:c r="W84" s="3" t="str">
        <x:v>Leading inclusion-focused open platform</x:v>
      </x:c>
      <x:c r="X84" s="3" t="str">
        <x:v>High on existence; lower on effects</x:v>
      </x:c>
      <x:c r="Y84" s="3" t="str">
        <x:v>https://www.digitalpublicgoods.net/r/kolibri</x:v>
      </x:c>
      <x:c r="Z84" s="3" t="str">
        <x:v>https://learningequality.org/kolibri/about-kolibri/</x:v>
      </x:c>
      <x:c r="AA84" s="9" t="n">
        <x:v>46268</x:v>
      </x:c>
      <x:c r="AB84" s="3" t="str">
        <x:v>Yes</x:v>
      </x:c>
      <x:c r="AC84" s="9" t="n">
        <x:v>46268</x:v>
      </x:c>
      <x:c r="AD84" s="3" t="str"/>
      <x:c r="AE84" s="11" t="n">
        <x:f>COUNTIF('Sources'!$A$6:$A$196,A84)</x:f>
        <x:v>2</x:v>
      </x:c>
    </x:row>
    <x:row r="85" ht="51" customHeight="1">
      <x:c r="A85" s="3" t="str">
        <x:v>P080</x:v>
      </x:c>
      <x:c r="B85" s="3" t="str">
        <x:v>DHIS2 for Education</x:v>
      </x:c>
      <x:c r="C85" s="3" t="str">
        <x:v>Education × open standards</x:v>
      </x:c>
      <x:c r="D85" s="3" t="str">
        <x:v>Education management information system</x:v>
      </x:c>
      <x:c r="E85" s="3" t="str">
        <x:v>HISP Centre, University of Oslo and global HISP network</x:v>
      </x:c>
      <x:c r="F85" s="3" t="str">
        <x:v>Global</x:v>
      </x:c>
      <x:c r="G85" s="3" t="str">
        <x:v>Multi-country pilots/deployments</x:v>
      </x:c>
      <x:c r="H85" s="3" t="str">
        <x:v>Active education extension of mature DPG platform</x:v>
      </x:c>
      <x:c r="I85" s="3" t="str">
        <x:v>Ministries, districts, schools and data teams</x:v>
      </x:c>
      <x:c r="J85" s="3" t="str">
        <x:v>Annual census, school, student, staff and aggregate education-management packages with APIs</x:v>
      </x:c>
      <x:c r="K85" s="3" t="str">
        <x:v>Configurable data models and APIs; cross-country schemas may diverge</x:v>
      </x:c>
      <x:c r="L85" s="3" t="str">
        <x:v>Public documentation/APIs</x:v>
      </x:c>
      <x:c r="M85" s="3" t="str">
        <x:v>Yes</x:v>
      </x:c>
      <x:c r="N85" s="3" t="str">
        <x:v>Aggregate/open datasets are deployment-specific</x:v>
      </x:c>
      <x:c r="O85" s="3" t="str">
        <x:v>Open self-hosted with implementation support ecosystem</x:v>
      </x:c>
      <x:c r="P85" s="3" t="str">
        <x:v>BSD-3-Clause for DHIS2 core / component-specific</x:v>
      </x:c>
      <x:c r="Q85" s="3" t="str">
        <x:v>Implementation evidence</x:v>
      </x:c>
      <x:c r="R85" s="3" t="str">
        <x:v>Strong platform credibility; often-cited 80+ country scale refers mainly to DHIS2 overall, not education deployments.</x:v>
      </x:c>
      <x:c r="S85" s="3" t="str">
        <x:v>University/public-interest global network</x:v>
      </x:c>
      <x:c r="T85" s="3" t="str">
        <x:v>Sovereign, configurable information systems</x:v>
      </x:c>
      <x:c r="U85" s="3" t="str">
        <x:v>Hosting, role design and student-level data are country responsibilities</x:v>
      </x:c>
      <x:c r="V85" s="3" t="str">
        <x:v>Configurability can fragment semantics and inhibit cross-country interoperability.</x:v>
      </x:c>
      <x:c r="W85" s="3" t="str">
        <x:v>Major open EMIS platform</x:v>
      </x:c>
      <x:c r="X85" s="3" t="str">
        <x:v>High on existence; lower on effects</x:v>
      </x:c>
      <x:c r="Y85" s="3" t="str">
        <x:v>https://dhis2.org/education/</x:v>
      </x:c>
      <x:c r="Z85" s="3"/>
      <x:c r="AA85" s="9" t="n">
        <x:v>46268</x:v>
      </x:c>
      <x:c r="AB85" s="3" t="str">
        <x:v>Yes</x:v>
      </x:c>
      <x:c r="AC85" s="9" t="n">
        <x:v>46268</x:v>
      </x:c>
      <x:c r="AD85" s="3" t="str"/>
      <x:c r="AE85" s="11" t="n">
        <x:f>COUNTIF('Sources'!$A$6:$A$196,A85)</x:f>
        <x:v>1</x:v>
      </x:c>
    </x:row>
    <x:row r="86" ht="51" customHeight="1">
      <x:c r="A86" s="3" t="str">
        <x:v>P081</x:v>
      </x:c>
      <x:c r="B86" s="3" t="str">
        <x:v>OpenEMIS</x:v>
      </x:c>
      <x:c r="C86" s="3" t="str">
        <x:v>Education × open standards</x:v>
      </x:c>
      <x:c r="D86" s="3" t="str">
        <x:v>Open education management information system</x:v>
      </x:c>
      <x:c r="E86" s="3" t="str">
        <x:v>UNESCO origin; Community Systems Foundation stewardship</x:v>
      </x:c>
      <x:c r="F86" s="3" t="str">
        <x:v>Global</x:v>
      </x:c>
      <x:c r="G86" s="3" t="str">
        <x:v>National/subnational deployments, including small and lower-resource states</x:v>
      </x:c>
      <x:c r="H86" s="3" t="str">
        <x:v>Operational; stewardship evolved since 2013</x:v>
      </x:c>
      <x:c r="I86" s="3" t="str">
        <x:v>Ministries, schools and education planners</x:v>
      </x:c>
      <x:c r="J86" s="3" t="str">
        <x:v>School, student, staff, attendance, assessment, infrastructure and planning modules with APIs</x:v>
      </x:c>
      <x:c r="K86" s="3" t="str">
        <x:v>Documented APIs; configurable data model</x:v>
      </x:c>
      <x:c r="L86" s="3" t="str">
        <x:v>Public documentation</x:v>
      </x:c>
      <x:c r="M86" s="3" t="str">
        <x:v>Yes</x:v>
      </x:c>
      <x:c r="N86" s="3" t="str">
        <x:v>Country data appropriately restricted</x:v>
      </x:c>
      <x:c r="O86" s="3" t="str">
        <x:v>Open platform plus implementation/support</x:v>
      </x:c>
      <x:c r="P86" s="3" t="str">
        <x:v>GPLv3 indicated by project materials</x:v>
      </x:c>
      <x:c r="Q86" s="3" t="str">
        <x:v>Implementation and external evaluation evidence</x:v>
      </x:c>
      <x:c r="R86" s="3" t="str">
        <x:v>Country case studies and a UNESCO external evaluation; current governance, freshness and support costs need verification.</x:v>
      </x:c>
      <x:c r="S86" s="3" t="str">
        <x:v>Public-interest origin with concentrated current stewardship</x:v>
      </x:c>
      <x:c r="T86" s="3" t="str">
        <x:v>SDG4-aligned EMIS for resource-constrained systems</x:v>
      </x:c>
      <x:c r="U86" s="3" t="str">
        <x:v>National security, access controls and hosting are critical</x:v>
      </x:c>
      <x:c r="V86" s="3" t="str">
        <x:v>Open source does not eliminate implementation capacity or sustainability costs.</x:v>
      </x:c>
      <x:c r="W86" s="3" t="str">
        <x:v>Important open EMIS</x:v>
      </x:c>
      <x:c r="X86" s="3" t="str">
        <x:v>High on existence; lower on effects</x:v>
      </x:c>
      <x:c r="Y86" s="3" t="str">
        <x:v>https://www.openemis.org/</x:v>
      </x:c>
      <x:c r="Z86" s="3" t="str">
        <x:v>https://www.unesco.org/en/articles/what-did-we-learn-external-evaluation-openemis-initiative</x:v>
      </x:c>
      <x:c r="AA86" s="9" t="n">
        <x:v>46268</x:v>
      </x:c>
      <x:c r="AB86" s="3" t="str">
        <x:v>Yes</x:v>
      </x:c>
      <x:c r="AC86" s="9" t="n">
        <x:v>46268</x:v>
      </x:c>
      <x:c r="AD86" s="3" t="str"/>
      <x:c r="AE86" s="11" t="n">
        <x:f>COUNTIF('Sources'!$A$6:$A$196,A86)</x:f>
        <x:v>2</x:v>
      </x:c>
    </x:row>
    <x:row r="87" ht="38" customHeight="1">
      <x:c r="A87" s="3" t="str">
        <x:v>P082</x:v>
      </x:c>
      <x:c r="B87" s="3" t="str">
        <x:v>National Schools Interoperability Program (NSIP)</x:v>
      </x:c>
      <x:c r="C87" s="3" t="str">
        <x:v>Education × open standards</x:v>
      </x:c>
      <x:c r="D87" s="3" t="str">
        <x:v>National standards adoption/governance</x:v>
      </x:c>
      <x:c r="E87" s="3" t="str">
        <x:v>Education Services Australia</x:v>
      </x:c>
      <x:c r="F87" s="3" t="str">
        <x:v>Oceania</x:v>
      </x:c>
      <x:c r="G87" s="3" t="str">
        <x:v>Australia</x:v>
      </x:c>
      <x:c r="H87" s="3" t="str">
        <x:v>Mature national programme</x:v>
      </x:c>
      <x:c r="I87" s="3" t="str">
        <x:v>Australian school systems, agencies and vendors</x:v>
      </x:c>
      <x:c r="J87" s="3" t="str">
        <x:v>SIF adoption support, open Java/.NET frameworks and Australian Schools List integration</x:v>
      </x:c>
      <x:c r="K87" s="3" t="str">
        <x:v>Australian SIF profiles</x:v>
      </x:c>
      <x:c r="L87" s="3" t="str">
        <x:v>Uses public SIF specifications</x:v>
      </x:c>
      <x:c r="M87" s="3" t="str">
        <x:v>Yes</x:v>
      </x:c>
      <x:c r="N87" s="3" t="str">
        <x:v>N/A</x:v>
      </x:c>
      <x:c r="O87" s="3" t="str">
        <x:v>Public resources / sector services</x:v>
      </x:c>
      <x:c r="P87" s="3" t="str">
        <x:v>Repository/component-specific</x:v>
      </x:c>
      <x:c r="Q87" s="3" t="str">
        <x:v>Operational implementation evidence</x:v>
      </x:c>
      <x:c r="R87" s="3" t="str">
        <x:v>Ministerial endorsement and live national services; outcome metrics are thin.</x:v>
      </x:c>
      <x:c r="S87" s="3" t="str">
        <x:v>National sector coordination through Education Services Australia</x:v>
      </x:c>
      <x:c r="T87" s="3" t="str">
        <x:v>Common school-data exchange and shared services</x:v>
      </x:c>
      <x:c r="U87" s="3" t="str">
        <x:v>Highly sensitive school data; service-level controls matter</x:v>
      </x:c>
      <x:c r="V87" s="3" t="str">
        <x:v>Operational services may lag the latest Australian SIF profile.</x:v>
      </x:c>
      <x:c r="W87" s="3" t="str">
        <x:v>National standards implementation case</x:v>
      </x:c>
      <x:c r="X87" s="3" t="str">
        <x:v>High on existence; lower on effects</x:v>
      </x:c>
      <x:c r="Y87" s="3" t="str">
        <x:v>https://www.nsip.edu.au/about/</x:v>
      </x:c>
      <x:c r="Z87" s="3" t="str">
        <x:v>https://www.nsip.edu.au/nsip-open-source-resources-more-info/</x:v>
      </x:c>
      <x:c r="AA87" s="9" t="n">
        <x:v>46268</x:v>
      </x:c>
      <x:c r="AB87" s="3" t="str">
        <x:v>Yes — NSIP frameworks</x:v>
      </x:c>
      <x:c r="AC87" s="9" t="n">
        <x:v>46268</x:v>
      </x:c>
      <x:c r="AD87" s="3" t="str"/>
      <x:c r="AE87" s="11" t="n">
        <x:f>COUNTIF('Sources'!$A$6:$A$196,A87)</x:f>
        <x:v>2</x:v>
      </x:c>
    </x:row>
    <x:row r="88" ht="51" customHeight="1">
      <x:c r="A88" s="3" t="str">
        <x:v>P083</x:v>
      </x:c>
      <x:c r="B88" s="3" t="str">
        <x:v>OOAPI + Edu-V</x:v>
      </x:c>
      <x:c r="C88" s="3" t="str">
        <x:v>Education × open standards</x:v>
      </x:c>
      <x:c r="D88" s="3" t="str">
        <x:v>Dutch education data and trust ecosystem</x:v>
      </x:c>
      <x:c r="E88" s="3" t="str">
        <x:v>SURF, Npuls, Dutch institutions and Edu-V programme</x:v>
      </x:c>
      <x:c r="F88" s="3" t="str">
        <x:v>Europe</x:v>
      </x:c>
      <x:c r="G88" s="3" t="str">
        <x:v>Netherlands</x:v>
      </x:c>
      <x:c r="H88" s="3" t="str">
        <x:v>OOAPI v6 active; Edu-V adoption evolving</x:v>
      </x:c>
      <x:c r="I88" s="3" t="str">
        <x:v>Higher-education and school institutions, suppliers and developers</x:v>
      </x:c>
      <x:c r="J88" s="3" t="str">
        <x:v>REST API for courses/enrolment/results plus legal, semantic, technical and organisational trust agreements</x:v>
      </x:c>
      <x:c r="K88" s="3" t="str">
        <x:v>Open Education API / OpenAPI; Edu-V agreements</x:v>
      </x:c>
      <x:c r="L88" s="3" t="str">
        <x:v>Yes</x:v>
      </x:c>
      <x:c r="M88" s="3" t="str">
        <x:v>Yes</x:v>
      </x:c>
      <x:c r="N88" s="3" t="str">
        <x:v>N/A</x:v>
      </x:c>
      <x:c r="O88" s="3" t="str">
        <x:v>Public specs; network/assurance participation</x:v>
      </x:c>
      <x:c r="P88" s="3" t="str">
        <x:v>OOAPI EUPL-1.2</x:v>
      </x:c>
      <x:c r="Q88" s="3" t="str">
        <x:v>Implementation evidence</x:v>
      </x:c>
      <x:c r="R88" s="3" t="str">
        <x:v>Named operational institutional users; public scale evidence is incomplete and often Dutch-language.</x:v>
      </x:c>
      <x:c r="S88" s="3" t="str">
        <x:v>Cooperative public education/research infrastructure and sector programme</x:v>
      </x:c>
      <x:c r="T88" s="3" t="str">
        <x:v>Flexible learning and lower-friction data exchange</x:v>
      </x:c>
      <x:c r="U88" s="3" t="str">
        <x:v>Edu-V explicitly integrates legal/privacy arrangements</x:v>
      </x:c>
      <x:c r="V88" s="3" t="str">
        <x:v>OOAPI and Edu-V are complementary, not one interchangeable standard.</x:v>
      </x:c>
      <x:c r="W88" s="3" t="str">
        <x:v>Strong national open-standard ecosystem</x:v>
      </x:c>
      <x:c r="X88" s="3" t="str">
        <x:v>High on existence; lower on effects</x:v>
      </x:c>
      <x:c r="Y88" s="3" t="str">
        <x:v>https://www.surf.nl/en/open-education-api</x:v>
      </x:c>
      <x:c r="Z88" s="3" t="str">
        <x:v>https://www.edu-v.org/english/</x:v>
      </x:c>
      <x:c r="AA88" s="9" t="n">
        <x:v>46268</x:v>
      </x:c>
      <x:c r="AB88" s="3" t="str">
        <x:v>Yes</x:v>
      </x:c>
      <x:c r="AC88" s="9" t="n">
        <x:v>46268</x:v>
      </x:c>
      <x:c r="AD88" s="3" t="str"/>
      <x:c r="AE88" s="11" t="n">
        <x:f>COUNTIF('Sources'!$A$6:$A$196,A88)</x:f>
        <x:v>2</x:v>
      </x:c>
    </x:row>
    <x:row r="89" ht="51" customHeight="1">
      <x:c r="A89" s="3" t="str">
        <x:v>P084</x:v>
      </x:c>
      <x:c r="B89" s="3" t="str">
        <x:v>Finland KOSKI + ePerusteet/eRequirements</x:v>
      </x:c>
      <x:c r="C89" s="3" t="str">
        <x:v>Education × open standards</x:v>
      </x:c>
      <x:c r="D89" s="3" t="str">
        <x:v>National learning records and curriculum data</x:v>
      </x:c>
      <x:c r="E89" s="3" t="str">
        <x:v>Finnish National Agency for Education</x:v>
      </x:c>
      <x:c r="F89" s="3" t="str">
        <x:v>Europe</x:v>
      </x:c>
      <x:c r="G89" s="3" t="str">
        <x:v>Finland</x:v>
      </x:c>
      <x:c r="H89" s="3" t="str">
        <x:v>Mature operational infrastructure</x:v>
      </x:c>
      <x:c r="I89" s="3" t="str">
        <x:v>Learners, institutions, authorities and service developers</x:v>
      </x:c>
      <x:c r="J89" s="3" t="str">
        <x:v>National study-right/completion warehouse and structured curricula/qualification requirements</x:v>
      </x:c>
      <x:c r="K89" s="3" t="str">
        <x:v>Public national APIs/data models</x:v>
      </x:c>
      <x:c r="L89" s="3" t="str">
        <x:v>Yes / public technical documentation</x:v>
      </x:c>
      <x:c r="M89" s="3" t="str">
        <x:v>Yes</x:v>
      </x:c>
      <x:c r="N89" s="3" t="str">
        <x:v>Curriculum data public; personal learner records protected</x:v>
      </x:c>
      <x:c r="O89" s="3" t="str">
        <x:v>National services and authorised APIs</x:v>
      </x:c>
      <x:c r="P89" s="3" t="str">
        <x:v>EUPL for KOSKI code; data terms vary</x:v>
      </x:c>
      <x:c r="Q89" s="3" t="str">
        <x:v>Operational scale evidence</x:v>
      </x:c>
      <x:c r="R89" s="3" t="str">
        <x:v>National coverage across major education sectors since 2018.</x:v>
      </x:c>
      <x:c r="S89" s="3" t="str">
        <x:v>Sovereign national education agency</x:v>
      </x:c>
      <x:c r="T89" s="3" t="str">
        <x:v>Authoritative records, learner access and reusable curriculum data</x:v>
      </x:c>
      <x:c r="U89" s="3" t="str">
        <x:v>Personal records are role-controlled; open code is not open learner data</x:v>
      </x:c>
      <x:c r="V89" s="3" t="str">
        <x:v>Most technical material is Finnish/Swedish and national-specific.</x:v>
      </x:c>
      <x:c r="W89" s="3" t="str">
        <x:v>Mature sovereign infrastructure</x:v>
      </x:c>
      <x:c r="X89" s="3" t="str">
        <x:v>High on existence; lower on effects</x:v>
      </x:c>
      <x:c r="Y89" s="3" t="str">
        <x:v>https://github.com/Opetushallitus/koski</x:v>
      </x:c>
      <x:c r="Z89" s="3" t="str">
        <x:v>https://eperusteet.opintopolku.fi/</x:v>
      </x:c>
      <x:c r="AA89" s="9" t="n">
        <x:v>46268</x:v>
      </x:c>
      <x:c r="AB89" s="3" t="str">
        <x:v>Yes</x:v>
      </x:c>
      <x:c r="AC89" s="9" t="n">
        <x:v>46268</x:v>
      </x:c>
      <x:c r="AD89" s="3" t="str"/>
      <x:c r="AE89" s="11" t="n">
        <x:f>COUNTIF('Sources'!$A$6:$A$196,A89)</x:f>
        <x:v>2</x:v>
      </x:c>
    </x:row>
    <x:row r="90" ht="51" customHeight="1">
      <x:c r="A90" s="3" t="str">
        <x:v>P085</x:v>
      </x:c>
      <x:c r="B90" s="3" t="str">
        <x:v>Grep — Norway’s open curriculum data</x:v>
      </x:c>
      <x:c r="C90" s="3" t="str">
        <x:v>Education × open standards</x:v>
      </x:c>
      <x:c r="D90" s="3" t="str">
        <x:v>Authoritative curriculum data API</x:v>
      </x:c>
      <x:c r="E90" s="3" t="str">
        <x:v>Norwegian Directorate for Education and Training</x:v>
      </x:c>
      <x:c r="F90" s="3" t="str">
        <x:v>Europe</x:v>
      </x:c>
      <x:c r="G90" s="3" t="str">
        <x:v>Norway</x:v>
      </x:c>
      <x:c r="H90" s="3" t="str">
        <x:v>Mature operational public data</x:v>
      </x:c>
      <x:c r="I90" s="3" t="str">
        <x:v>Schools, publishers, platforms, developers and AI systems</x:v>
      </x:c>
      <x:c r="J90" s="3" t="str">
        <x:v>Authoritative subjects, curricula and training offers via raw data/APIs</x:v>
      </x:c>
      <x:c r="K90" s="3" t="str">
        <x:v>National curriculum schemas and identifiers</x:v>
      </x:c>
      <x:c r="L90" s="3" t="str">
        <x:v>Yes / public API</x:v>
      </x:c>
      <x:c r="M90" s="3" t="str">
        <x:v>N/A</x:v>
      </x:c>
      <x:c r="N90" s="3" t="str">
        <x:v>Yes — open government curriculum data</x:v>
      </x:c>
      <x:c r="O90" s="3" t="str">
        <x:v>Open public reuse</x:v>
      </x:c>
      <x:c r="P90" s="3" t="str">
        <x:v>Norwegian Licence for Open Government Data</x:v>
      </x:c>
      <x:c r="Q90" s="3" t="str">
        <x:v>Operational adoption evidence</x:v>
      </x:c>
      <x:c r="R90" s="3" t="str">
        <x:v>National authority and continuous publication are strong; downstream reuse metrics are limited.</x:v>
      </x:c>
      <x:c r="S90" s="3" t="str">
        <x:v>National education directorate</x:v>
      </x:c>
      <x:c r="T90" s="3" t="str">
        <x:v>Reusable authoritative curriculum grounding</x:v>
      </x:c>
      <x:c r="U90" s="3" t="str">
        <x:v>No learner records; low personal-data risk</x:v>
      </x:c>
      <x:c r="V90" s="3" t="str">
        <x:v>Does not certify downstream mappings, interpretations or AI outputs.</x:v>
      </x:c>
      <x:c r="W90" s="3" t="str">
        <x:v>High-value AI-ready public curriculum</x:v>
      </x:c>
      <x:c r="X90" s="3" t="str">
        <x:v>High on existence; lower on effects</x:v>
      </x:c>
      <x:c r="Y90" s="3" t="str">
        <x:v>https://www.udir.no/om-udir/data/</x:v>
      </x:c>
      <x:c r="Z90" s="3" t="str">
        <x:v>https://www.udir.no/in-english/curricula-in-english/</x:v>
      </x:c>
      <x:c r="AA90" s="9" t="n">
        <x:v>46268</x:v>
      </x:c>
      <x:c r="AB90" s="3" t="str">
        <x:v>N/A</x:v>
      </x:c>
      <x:c r="AC90" s="9" t="n">
        <x:v>46268</x:v>
      </x:c>
      <x:c r="AD90" s="3" t="str"/>
      <x:c r="AE90" s="11" t="n">
        <x:f>COUNTIF('Sources'!$A$6:$A$196,A90)</x:f>
        <x:v>2</x:v>
      </x:c>
    </x:row>
    <x:row r="91" ht="38" customHeight="1">
      <x:c r="A91" s="3" t="str">
        <x:v>P086</x:v>
      </x:c>
      <x:c r="B91" s="3" t="str">
        <x:v>England CBDS + Common Transfer File</x:v>
      </x:c>
      <x:c r="C91" s="3" t="str">
        <x:v>Education × open standards</x:v>
      </x:c>
      <x:c r="D91" s="3" t="str">
        <x:v>National school data definitions and transfer</x:v>
      </x:c>
      <x:c r="E91" s="3" t="str">
        <x:v>Department for Education</x:v>
      </x:c>
      <x:c r="F91" s="3" t="str">
        <x:v>Europe</x:v>
      </x:c>
      <x:c r="G91" s="3" t="str">
        <x:v>England</x:v>
      </x:c>
      <x:c r="H91" s="3" t="str">
        <x:v>Operational; CBDS updated May 2026, CTF 26 from Sep 2026</x:v>
      </x:c>
      <x:c r="I91" s="3" t="str">
        <x:v>Schools, local authorities and MIS vendors</x:v>
      </x:c>
      <x:c r="J91" s="3" t="str">
        <x:v>Canonical data definitions/code sets and pupil-transfer schemas</x:v>
      </x:c>
      <x:c r="K91" s="3" t="str">
        <x:v>CBDS and CTF XML specifications</x:v>
      </x:c>
      <x:c r="L91" s="3" t="str">
        <x:v>Public government specifications</x:v>
      </x:c>
      <x:c r="M91" s="3" t="str">
        <x:v>N/A</x:v>
      </x:c>
      <x:c r="N91" s="3" t="str">
        <x:v>Reference documents/schemas public</x:v>
      </x:c>
      <x:c r="O91" s="3" t="str">
        <x:v>Public specs; operational use mandated</x:v>
      </x:c>
      <x:c r="P91" s="3" t="str">
        <x:v>GOV.UK terms</x:v>
      </x:c>
      <x:c r="Q91" s="3" t="str">
        <x:v>Operational mandated adoption</x:v>
      </x:c>
      <x:c r="R91" s="3" t="str">
        <x:v>National operational requirement is strong adoption evidence.</x:v>
      </x:c>
      <x:c r="S91" s="3" t="str">
        <x:v>Government-controlled rather than open collaborative governance</x:v>
      </x:c>
      <x:c r="T91" s="3" t="str">
        <x:v>Reliable continuity of pupil records and reporting</x:v>
      </x:c>
      <x:c r="U91" s="3" t="str">
        <x:v>Transfers contain highly sensitive pupil data</x:v>
      </x:c>
      <x:c r="V91" s="3" t="str">
        <x:v>Frequent versions, batch/XML orientation and England-only scope.</x:v>
      </x:c>
      <x:c r="W91" s="3" t="str">
        <x:v>National operational standard</x:v>
      </x:c>
      <x:c r="X91" s="3" t="str">
        <x:v>High on existence; lower on effects</x:v>
      </x:c>
      <x:c r="Y91" s="3" t="str">
        <x:v>https://www.gov.uk/government/publications/common-basic-data-set-cbds-database</x:v>
      </x:c>
      <x:c r="Z91" s="3" t="str">
        <x:v>https://www.gov.uk/government/publications/common-transfer-file-26-specification</x:v>
      </x:c>
      <x:c r="AA91" s="9" t="n">
        <x:v>46268</x:v>
      </x:c>
      <x:c r="AB91" s="3" t="str">
        <x:v>N/A</x:v>
      </x:c>
      <x:c r="AC91" s="9" t="n">
        <x:v>46268</x:v>
      </x:c>
      <x:c r="AD91" s="3" t="str"/>
      <x:c r="AE91" s="11" t="n">
        <x:f>COUNTIF('Sources'!$A$6:$A$196,A91)</x:f>
        <x:v>2</x:v>
      </x:c>
    </x:row>
    <x:row r="92" ht="38" customHeight="1">
      <x:c r="A92" s="3" t="str">
        <x:v>P087</x:v>
      </x:c>
      <x:c r="B92" s="3" t="str">
        <x:v>SDMX framework for education statistics</x:v>
      </x:c>
      <x:c r="C92" s="3" t="str">
        <x:v>Education × open standards</x:v>
      </x:c>
      <x:c r="D92" s="3" t="str">
        <x:v>Aggregate education-statistics exchange</x:v>
      </x:c>
      <x:c r="E92" s="3" t="str">
        <x:v>UNESCO Institute for Statistics, OECD, Eurostat and SDMX sponsors</x:v>
      </x:c>
      <x:c r="F92" s="3" t="str">
        <x:v>Global</x:v>
      </x:c>
      <x:c r="G92" s="3" t="str">
        <x:v>Global official statistics</x:v>
      </x:c>
      <x:c r="H92" s="3" t="str">
        <x:v>Active conceptual/data-collection framework; former UIS SDMX API retired</x:v>
      </x:c>
      <x:c r="I92" s="3" t="str">
        <x:v>National statistics agencies, international organisations and researchers</x:v>
      </x:c>
      <x:c r="J92" s="3" t="str">
        <x:v>Education data structures, concepts and code lists under SDMX</x:v>
      </x:c>
      <x:c r="K92" s="3" t="str">
        <x:v>SDMX and UOE education data structures</x:v>
      </x:c>
      <x:c r="L92" s="3" t="str">
        <x:v>Yes / public standard resources</x:v>
      </x:c>
      <x:c r="M92" s="3" t="str">
        <x:v>No / unclear</x:v>
      </x:c>
      <x:c r="N92" s="3" t="str">
        <x:v>Aggregate data downloadable; APIs changed</x:v>
      </x:c>
      <x:c r="O92" s="3" t="str">
        <x:v>Public specifications/data browser</x:v>
      </x:c>
      <x:c r="P92" s="3" t="str">
        <x:v>SDMX/agency terms</x:v>
      </x:c>
      <x:c r="Q92" s="3" t="str">
        <x:v>Operational statistical collection</x:v>
      </x:c>
      <x:c r="R92" s="3" t="str">
        <x:v>Used in joint international collection; former UIS public SDMX API ended in 2020.</x:v>
      </x:c>
      <x:c r="S92" s="3" t="str">
        <x:v>Intergovernmental statistical standards ecosystem</x:v>
      </x:c>
      <x:c r="T92" s="3" t="str">
        <x:v>Comparable education indicators and transparent official statistics</x:v>
      </x:c>
      <x:c r="U92" s="3" t="str">
        <x:v>Aggregate statistics reduce personal-data exposure</x:v>
      </x:c>
      <x:c r="V92" s="3" t="str">
        <x:v>Not operational learner-data interoperability; distinguish framework from retired API.</x:v>
      </x:c>
      <x:c r="W92" s="3" t="str">
        <x:v>Foundational statistics standard</x:v>
      </x:c>
      <x:c r="X92" s="3" t="str">
        <x:v>High on existence; lower on effects</x:v>
      </x:c>
      <x:c r="Y92" s="3" t="str">
        <x:v>https://sdmx.org/sdmx-for-education/</x:v>
      </x:c>
      <x:c r="Z92" s="3" t="str">
        <x:v>https://databrowser.uis.unesco.org/</x:v>
      </x:c>
      <x:c r="AA92" s="9" t="n">
        <x:v>46268</x:v>
      </x:c>
      <x:c r="AB92" s="3" t="str">
        <x:v>Implementations vary</x:v>
      </x:c>
      <x:c r="AC92" s="9" t="n">
        <x:v>46268</x:v>
      </x:c>
      <x:c r="AD92" s="3" t="str"/>
      <x:c r="AE92" s="11" t="n">
        <x:f>COUNTIF('Sources'!$A$6:$A$196,A92)</x:f>
        <x:v>2</x:v>
      </x:c>
    </x:row>
    <x:row r="93" ht="51" customHeight="1">
      <x:c r="A93" s="3" t="str">
        <x:v>P088</x:v>
      </x:c>
      <x:c r="B93" s="3" t="str">
        <x:v>Gateways to Public Digital Learning + 2026 Charter</x:v>
      </x:c>
      <x:c r="C93" s="3" t="str">
        <x:v>Education × open standards</x:v>
      </x:c>
      <x:c r="D93" s="3" t="str">
        <x:v>Global public-platform cooperation and norms</x:v>
      </x:c>
      <x:c r="E93" s="3" t="str">
        <x:v>UNESCO, UNICEF and ITU</x:v>
      </x:c>
      <x:c r="F93" s="3" t="str">
        <x:v>Global</x:v>
      </x:c>
      <x:c r="G93" s="3" t="str">
        <x:v>Global with participating countries</x:v>
      </x:c>
      <x:c r="H93" s="3" t="str">
        <x:v>Active programme; Charter launched March 2026</x:v>
      </x:c>
      <x:c r="I93" s="3" t="str">
        <x:v>Governments, public-platform teams, educators and learners</x:v>
      </x:c>
      <x:c r="J93" s="3" t="str">
        <x:v>Global gateway, evidence exchange, norms/standards and seven-principle public-platform Charter</x:v>
      </x:c>
      <x:c r="K93" s="3" t="str">
        <x:v>Normative public digital learning principles; not one technical protocol</x:v>
      </x:c>
      <x:c r="L93" s="3" t="str">
        <x:v>Public normative framework</x:v>
      </x:c>
      <x:c r="M93" s="3" t="str">
        <x:v>N/A</x:v>
      </x:c>
      <x:c r="N93" s="3" t="str">
        <x:v>Promotes free/open public resources and digital commons</x:v>
      </x:c>
      <x:c r="O93" s="3" t="str">
        <x:v>Public</x:v>
      </x:c>
      <x:c r="P93" s="3" t="str">
        <x:v>Publication/platform component terms vary</x:v>
      </x:c>
      <x:c r="Q93" s="3" t="str">
        <x:v>Normative / implementation learning</x:v>
      </x:c>
      <x:c r="R93" s="3" t="str">
        <x:v>Strong intergovernmental coordination; country platform quality and learning outcomes vary.</x:v>
      </x:c>
      <x:c r="S93" s="3" t="str">
        <x:v>UNESCO–UNICEF–ITU public-interest partnership</x:v>
      </x:c>
      <x:c r="T93" s="3" t="str">
        <x:v>Education as a public good, inclusion, accessibility and sustainable public platforms</x:v>
      </x:c>
      <x:c r="U93" s="3" t="str">
        <x:v>Charter includes rights/trust principles; assurance remains implementation-specific</x:v>
      </x:c>
      <x:c r="V93" s="3" t="str">
        <x:v>A gateway and charter should not be scored as a single interoperable platform.</x:v>
      </x:c>
      <x:c r="W93" s="3" t="str">
        <x:v>Global public-good anchor</x:v>
      </x:c>
      <x:c r="X93" s="3" t="str">
        <x:v>High on existence; lower on effects</x:v>
      </x:c>
      <x:c r="Y93" s="3" t="str">
        <x:v>https://www.unesco.org/en/digital-education/learning-platforms-gateway</x:v>
      </x:c>
      <x:c r="Z93" s="3" t="str">
        <x:v>https://www.unesco.org/en/articles/unesco-unicef-and-itu-launch-charter-public-digital-learning-platforms</x:v>
      </x:c>
      <x:c r="AA93" s="9" t="n">
        <x:v>46268</x:v>
      </x:c>
      <x:c r="AB93" s="3" t="str">
        <x:v>N/A</x:v>
      </x:c>
      <x:c r="AC93" s="9" t="n">
        <x:v>46268</x:v>
      </x:c>
      <x:c r="AD93" s="3" t="str"/>
      <x:c r="AE93" s="11" t="n">
        <x:f>COUNTIF('Sources'!$A$6:$A$196,A93)</x:f>
        <x:v>2</x:v>
      </x:c>
    </x:row>
    <x:row r="94" ht="51" customHeight="1">
      <x:c r="A94" s="3" t="str">
        <x:v>P089</x:v>
      </x:c>
      <x:c r="B94" s="3" t="str">
        <x:v>OERSI — Open Educational Resources Search Index</x:v>
      </x:c>
      <x:c r="C94" s="3" t="str">
        <x:v>Education × open standards</x:v>
      </x:c>
      <x:c r="D94" s="3" t="str">
        <x:v>Federated OER metadata/search</x:v>
      </x:c>
      <x:c r="E94" s="3" t="str">
        <x:v>German higher-education partners including TIB and Hochschulbibliothekszentrum</x:v>
      </x:c>
      <x:c r="F94" s="3" t="str">
        <x:v>Europe</x:v>
      </x:c>
      <x:c r="G94" s="3" t="str">
        <x:v>Germany with cross-border repository federation</x:v>
      </x:c>
      <x:c r="H94" s="3" t="str">
        <x:v>Active operational service</x:v>
      </x:c>
      <x:c r="I94" s="3" t="str">
        <x:v>Higher-education teachers, learners, repositories and developers</x:v>
      </x:c>
      <x:c r="J94" s="3" t="str">
        <x:v>Federated OER discovery, normalised metadata, open API and open-source services</x:v>
      </x:c>
      <x:c r="K94" s="3" t="str">
        <x:v>Metadata mappings, APIs and repository harvesting</x:v>
      </x:c>
      <x:c r="L94" s="3" t="str">
        <x:v>Yes / public API</x:v>
      </x:c>
      <x:c r="M94" s="3" t="str">
        <x:v>Yes</x:v>
      </x:c>
      <x:c r="N94" s="3" t="str">
        <x:v>Metadata openly searchable; underlying OER licences vary</x:v>
      </x:c>
      <x:c r="O94" s="3" t="str">
        <x:v>Free public service</x:v>
      </x:c>
      <x:c r="P94" s="3" t="str">
        <x:v>Repositories on GitLab; component-specific open licences</x:v>
      </x:c>
      <x:c r="Q94" s="3" t="str">
        <x:v>Operational / adoption evidence</x:v>
      </x:c>
      <x:c r="R94" s="3" t="str">
        <x:v>Live service and integrations demonstrate function; independent reach/learning impact evidence is limited.</x:v>
      </x:c>
      <x:c r="S94" s="3" t="str">
        <x:v>Public higher-education and library infrastructure</x:v>
      </x:c>
      <x:c r="T94" s="3" t="str">
        <x:v>Improves discoverability and reuse of OER</x:v>
      </x:c>
      <x:c r="U94" s="3" t="str">
        <x:v>Primarily public resource metadata</x:v>
      </x:c>
      <x:c r="V94" s="3" t="str">
        <x:v>Index openness does not override source-resource licences or quality variation.</x:v>
      </x:c>
      <x:c r="W94" s="3" t="str">
        <x:v>Strong OER infrastructure</x:v>
      </x:c>
      <x:c r="X94" s="3" t="str">
        <x:v>High on existence; lower on effects</x:v>
      </x:c>
      <x:c r="Y94" s="3" t="str">
        <x:v>https://oersi.org/pages/en/about/</x:v>
      </x:c>
      <x:c r="Z94" s="3" t="str">
        <x:v>https://gitlab.com/oersi</x:v>
      </x:c>
      <x:c r="AA94" s="9" t="n">
        <x:v>46268</x:v>
      </x:c>
      <x:c r="AB94" s="3" t="str">
        <x:v>Yes</x:v>
      </x:c>
      <x:c r="AC94" s="9" t="n">
        <x:v>46268</x:v>
      </x:c>
      <x:c r="AD94" s="3" t="str"/>
      <x:c r="AE94" s="11" t="n">
        <x:f>COUNTIF('Sources'!$A$6:$A$196,A94)</x:f>
        <x:v>2</x:v>
      </x:c>
    </x:row>
    <x:row r="95" ht="51" customHeight="1">
      <x:c r="A95" s="3" t="str">
        <x:v>P090</x:v>
      </x:c>
      <x:c r="B95" s="3" t="str">
        <x:v>Global Digital Library</x:v>
      </x:c>
      <x:c r="C95" s="3" t="str">
        <x:v>Education × open standards</x:v>
      </x:c>
      <x:c r="D95" s="3" t="str">
        <x:v>Multilingual open reading content</x:v>
      </x:c>
      <x:c r="E95" s="3" t="str">
        <x:v>Global Digital Library initiative with development and government partners</x:v>
      </x:c>
      <x:c r="F95" s="3" t="str">
        <x:v>Global</x:v>
      </x:c>
      <x:c r="G95" s="3" t="str">
        <x:v>Global, especially low-resource and multilingual contexts</x:v>
      </x:c>
      <x:c r="H95" s="3" t="str">
        <x:v>Active public platform</x:v>
      </x:c>
      <x:c r="I95" s="3" t="str">
        <x:v>Children, families, teachers, translators and ministries</x:v>
      </x:c>
      <x:c r="J95" s="3" t="str">
        <x:v>Openly licensed early-grade reading books and translation/adaptation workflows</x:v>
      </x:c>
      <x:c r="K95" s="3" t="str">
        <x:v>Portable digital content/metadata; formal protocol use not central</x:v>
      </x:c>
      <x:c r="L95" s="3" t="str">
        <x:v>Partial</x:v>
      </x:c>
      <x:c r="M95" s="3" t="str">
        <x:v>No / unclear</x:v>
      </x:c>
      <x:c r="N95" s="3" t="str">
        <x:v>Yes — content is openly licensed</x:v>
      </x:c>
      <x:c r="O95" s="3" t="str">
        <x:v>Free</x:v>
      </x:c>
      <x:c r="P95" s="3" t="str">
        <x:v>Creative Commons content; verify each item/tool</x:v>
      </x:c>
      <x:c r="Q95" s="3" t="str">
        <x:v>Adoption / reach evidence</x:v>
      </x:c>
      <x:c r="R95" s="3" t="str">
        <x:v>Large multilingual catalogue and public partnerships; direct learning-effect evidence varies by deployment.</x:v>
      </x:c>
      <x:c r="S95" s="3" t="str">
        <x:v>Public-interest literacy initiative and partners</x:v>
      </x:c>
      <x:c r="T95" s="3" t="str">
        <x:v>Mother-tongue reading access and local adaptation</x:v>
      </x:c>
      <x:c r="U95" s="3" t="str">
        <x:v>Low-risk content access; account/analytics details depend on implementation</x:v>
      </x:c>
      <x:c r="V95" s="3" t="str">
        <x:v>Content reach is not equivalent to reading-outcome evidence.</x:v>
      </x:c>
      <x:c r="W95" s="3" t="str">
        <x:v>Global OER public good</x:v>
      </x:c>
      <x:c r="X95" s="3" t="str">
        <x:v>High on existence; lower on effects</x:v>
      </x:c>
      <x:c r="Y95" s="3" t="str">
        <x:v>https://digitallibrary.io/</x:v>
      </x:c>
      <x:c r="Z95" s="3" t="str">
        <x:v>https://www.unesco.org/en/articles/global-digital-library-ignites-childrens-dream-reading-more-100-languages</x:v>
      </x:c>
      <x:c r="AA95" s="9" t="n">
        <x:v>46268</x:v>
      </x:c>
      <x:c r="AB95" s="3" t="str">
        <x:v>Unclear / component-specific</x:v>
      </x:c>
      <x:c r="AC95" s="9" t="n">
        <x:v>46268</x:v>
      </x:c>
      <x:c r="AD95" s="3" t="str"/>
      <x:c r="AE95" s="11" t="n">
        <x:f>COUNTIF('Sources'!$A$6:$A$196,A95)</x:f>
        <x:v>2</x:v>
      </x:c>
    </x:row>
    <x:row r="96" ht="38" customHeight="1">
      <x:c r="A96" s="3" t="str">
        <x:v>P091</x:v>
      </x:c>
      <x:c r="B96" s="3" t="str">
        <x:v>Science misconception benchmark (K–12 AI Infrastructure grantee)</x:v>
      </x:c>
      <x:c r="C96" s="3" t="str">
        <x:v>AI × education × open</x:v>
      </x:c>
      <x:c r="D96" s="3" t="str">
        <x:v>Planned formative-assessment benchmark</x:v>
      </x:c>
      <x:c r="E96" s="3" t="str">
        <x:v>Learning Equality</x:v>
      </x:c>
      <x:c r="F96" s="3" t="str">
        <x:v>North America</x:v>
      </x:c>
      <x:c r="G96" s="3" t="str">
        <x:v>United States-led; global reuse intended</x:v>
      </x:c>
      <x:c r="H96" s="3" t="str">
        <x:v>Announced June 2026; pre-output</x:v>
      </x:c>
      <x:c r="I96" s="3" t="str">
        <x:v>Developers and educators evaluating science formative assessment</x:v>
      </x:c>
      <x:c r="J96" s="3" t="str">
        <x:v>Planned openly licensed benchmark for identifying misconceptions in free-form responses</x:v>
      </x:c>
      <x:c r="K96" s="3" t="str">
        <x:v>None identified</x:v>
      </x:c>
      <x:c r="L96" s="3" t="str">
        <x:v>Planned</x:v>
      </x:c>
      <x:c r="M96" s="3" t="str">
        <x:v>No / unclear</x:v>
      </x:c>
      <x:c r="N96" s="3" t="str">
        <x:v>Open benchmark promised</x:v>
      </x:c>
      <x:c r="O96" s="3" t="str">
        <x:v>Not yet available at cutoff</x:v>
      </x:c>
      <x:c r="P96" s="3" t="str">
        <x:v>Exact instrument not yet published</x:v>
      </x:c>
      <x:c r="Q96" s="3" t="str">
        <x:v>Pre-output / no evaluation</x:v>
      </x:c>
      <x:c r="R96" s="3" t="str">
        <x:v>Strong problem and nonprofit lead; dataset, protocol and results not yet delivered.</x:v>
      </x:c>
      <x:c r="S96" s="3" t="str">
        <x:v>K–12 AI Infrastructure selection and Learning Equality stewardship</x:v>
      </x:c>
      <x:c r="T96" s="3" t="str">
        <x:v>Open assessment infrastructure and inclusion</x:v>
      </x:c>
      <x:c r="U96" s="3" t="str">
        <x:v>Free-form student responses require careful de-identification/access design</x:v>
      </x:c>
      <x:c r="V96" s="3" t="str">
        <x:v>Track as an early signal, not a completed asset.</x:v>
      </x:c>
      <x:c r="W96" s="3" t="str">
        <x:v>Watchlist — pre-output</x:v>
      </x:c>
      <x:c r="X96" s="3" t="str">
        <x:v>High on existence; lower on effects</x:v>
      </x:c>
      <x:c r="Y96" s="3" t="str">
        <x:v>https://digitalpromise.org/2026/06/29/digital-promise-announces-first-grantees-of-the-k-12-ai-infrastructure-program/</x:v>
      </x:c>
      <x:c r="Z96" s="3"/>
      <x:c r="AA96" s="9" t="n">
        <x:v>46268</x:v>
      </x:c>
      <x:c r="AB96" s="3" t="str">
        <x:v>Planned / unspecified</x:v>
      </x:c>
      <x:c r="AC96" s="9" t="n">
        <x:v>46268</x:v>
      </x:c>
      <x:c r="AD96" s="3" t="str"/>
      <x:c r="AE96" s="11" t="n">
        <x:f>COUNTIF('Sources'!$A$6:$A$196,A96)</x:f>
        <x:v>1</x:v>
      </x:c>
    </x:row>
    <x:row r="97" ht="51" customHeight="1">
      <x:c r="A97" s="3" t="str">
        <x:v>P092</x:v>
      </x:c>
      <x:c r="B97" s="3" t="str">
        <x:v>Simulated student-model training pipeline (K–12 AI Infrastructure grantee)</x:v>
      </x:c>
      <x:c r="C97" s="3" t="str">
        <x:v>AI × education × open</x:v>
      </x:c>
      <x:c r="D97" s="3" t="str">
        <x:v>Planned privacy-preserving model infrastructure</x:v>
      </x:c>
      <x:c r="E97" s="3" t="str">
        <x:v>Princeton team led by Tammy Kwan</x:v>
      </x:c>
      <x:c r="F97" s="3" t="str">
        <x:v>North America</x:v>
      </x:c>
      <x:c r="G97" s="3" t="str">
        <x:v>United States</x:v>
      </x:c>
      <x:c r="H97" s="3" t="str">
        <x:v>Announced June 2026; pre-output</x:v>
      </x:c>
      <x:c r="I97" s="3" t="str">
        <x:v>Education-AI researchers and developers</x:v>
      </x:c>
      <x:c r="J97" s="3" t="str">
        <x:v>Planned pipeline reducing reliance on identifiable human learner data</x:v>
      </x:c>
      <x:c r="K97" s="3" t="str">
        <x:v>None identified</x:v>
      </x:c>
      <x:c r="L97" s="3" t="str">
        <x:v>Planned</x:v>
      </x:c>
      <x:c r="M97" s="3" t="str">
        <x:v>No / unclear</x:v>
      </x:c>
      <x:c r="N97" s="3" t="str">
        <x:v>Open reusable infrastructure promised</x:v>
      </x:c>
      <x:c r="O97" s="3" t="str">
        <x:v>Not yet available at cutoff</x:v>
      </x:c>
      <x:c r="P97" s="3" t="str">
        <x:v>Exact licence not yet published</x:v>
      </x:c>
      <x:c r="Q97" s="3" t="str">
        <x:v>Pre-output / no evaluation</x:v>
      </x:c>
      <x:c r="R97" s="3" t="str">
        <x:v>Privacy-minimising premise is notable; architecture and validity tests were not yet public.</x:v>
      </x:c>
      <x:c r="S97" s="3" t="str">
        <x:v>K–12 AI Infrastructure grantee</x:v>
      </x:c>
      <x:c r="T97" s="3" t="str">
        <x:v>Shared infrastructure with reduced human-data dependency</x:v>
      </x:c>
      <x:c r="U97" s="3" t="str">
        <x:v>Privacy-by-design goal; synthetic validity and leakage still need testing</x:v>
      </x:c>
      <x:c r="V97" s="3" t="str">
        <x:v>No shipped artifact at research cutoff.</x:v>
      </x:c>
      <x:c r="W97" s="3" t="str">
        <x:v>Watchlist — pre-output</x:v>
      </x:c>
      <x:c r="X97" s="3" t="str">
        <x:v>High on existence; lower on effects</x:v>
      </x:c>
      <x:c r="Y97" s="3" t="str">
        <x:v>https://digitalpromise.org/2026/06/29/digital-promise-announces-first-grantees-of-the-k-12-ai-infrastructure-program/</x:v>
      </x:c>
      <x:c r="Z97" s="3"/>
      <x:c r="AA97" s="9" t="n">
        <x:v>46268</x:v>
      </x:c>
      <x:c r="AB97" s="3" t="str">
        <x:v>Planned</x:v>
      </x:c>
      <x:c r="AC97" s="9" t="n">
        <x:v>46268</x:v>
      </x:c>
      <x:c r="AD97" s="3" t="str"/>
      <x:c r="AE97" s="11" t="n">
        <x:f>COUNTIF('Sources'!$A$6:$A$196,A97)</x:f>
        <x:v>1</x:v>
      </x:c>
    </x:row>
    <x:row r="98" ht="38" customHeight="1">
      <x:c r="A98" s="3" t="str">
        <x:v>P093</x:v>
      </x:c>
      <x:c r="B98" s="3" t="str">
        <x:v>Open ASR leaderboards for educational contexts</x:v>
      </x:c>
      <x:c r="C98" s="3" t="str">
        <x:v>AI × education × open</x:v>
      </x:c>
      <x:c r="D98" s="3" t="str">
        <x:v>Planned speech-recognition benchmark</x:v>
      </x:c>
      <x:c r="E98" s="3" t="str">
        <x:v>National Tutoring Observatory / Cornell-linked team</x:v>
      </x:c>
      <x:c r="F98" s="3" t="str">
        <x:v>North America</x:v>
      </x:c>
      <x:c r="G98" s="3" t="str">
        <x:v>United States</x:v>
      </x:c>
      <x:c r="H98" s="3" t="str">
        <x:v>Announced June 2026; pre-output</x:v>
      </x:c>
      <x:c r="I98" s="3" t="str">
        <x:v>ASR developers, tutoring researchers and educators</x:v>
      </x:c>
      <x:c r="J98" s="3" t="str">
        <x:v>Planned open leaderboards and benchmarks for classroom/tutoring speech recognition</x:v>
      </x:c>
      <x:c r="K98" s="3" t="str">
        <x:v>None identified</x:v>
      </x:c>
      <x:c r="L98" s="3" t="str">
        <x:v>Planned</x:v>
      </x:c>
      <x:c r="M98" s="3" t="str">
        <x:v>No / unclear</x:v>
      </x:c>
      <x:c r="N98" s="3" t="str">
        <x:v>Open benchmark promised</x:v>
      </x:c>
      <x:c r="O98" s="3" t="str">
        <x:v>Not yet available at cutoff</x:v>
      </x:c>
      <x:c r="P98" s="3" t="str">
        <x:v>Exact licence not yet published</x:v>
      </x:c>
      <x:c r="Q98" s="3" t="str">
        <x:v>Pre-output / no evaluation</x:v>
      </x:c>
      <x:c r="R98" s="3" t="str">
        <x:v>Addresses accent, age and classroom-noise gaps; no released benchmark or results yet.</x:v>
      </x:c>
      <x:c r="S98" s="3" t="str">
        <x:v>K–12 AI Infrastructure grantee</x:v>
      </x:c>
      <x:c r="T98" s="3" t="str">
        <x:v>Fairer speech technology for authentic learning settings</x:v>
      </x:c>
      <x:c r="U98" s="3" t="str">
        <x:v>Child voice consent, access tiers and demographic coverage are decisive</x:v>
      </x:c>
      <x:c r="V98" s="3" t="str">
        <x:v>Pre-output and unusually privacy-sensitive.</x:v>
      </x:c>
      <x:c r="W98" s="3" t="str">
        <x:v>Watchlist — pre-output</x:v>
      </x:c>
      <x:c r="X98" s="3" t="str">
        <x:v>High on existence; lower on effects</x:v>
      </x:c>
      <x:c r="Y98" s="3" t="str">
        <x:v>https://digitalpromise.org/2026/06/29/digital-promise-announces-first-grantees-of-the-k-12-ai-infrastructure-program/</x:v>
      </x:c>
      <x:c r="Z98" s="3"/>
      <x:c r="AA98" s="9" t="n">
        <x:v>46268</x:v>
      </x:c>
      <x:c r="AB98" s="3" t="str">
        <x:v>Planned / unspecified</x:v>
      </x:c>
      <x:c r="AC98" s="9" t="n">
        <x:v>46268</x:v>
      </x:c>
      <x:c r="AD98" s="3" t="str"/>
      <x:c r="AE98" s="11" t="n">
        <x:f>COUNTIF('Sources'!$A$6:$A$196,A98)</x:f>
        <x:v>1</x:v>
      </x:c>
    </x:row>
    <x:row r="99" ht="38" customHeight="1">
      <x:c r="A99" s="3" t="str">
        <x:v>P094</x:v>
      </x:c>
      <x:c r="B99" s="3" t="str">
        <x:v>KB-TutorBench</x:v>
      </x:c>
      <x:c r="C99" s="3" t="str">
        <x:v>AI × education × open</x:v>
      </x:c>
      <x:c r="D99" s="3" t="str">
        <x:v>Planned multimodal formative-assessment dataset</x:v>
      </x:c>
      <x:c r="E99" s="3" t="str">
        <x:v>Stanford team led by Hariharan Subramonyam</x:v>
      </x:c>
      <x:c r="F99" s="3" t="str">
        <x:v>North America</x:v>
      </x:c>
      <x:c r="G99" s="3" t="str">
        <x:v>United States</x:v>
      </x:c>
      <x:c r="H99" s="3" t="str">
        <x:v>Announced June 2026; pre-output</x:v>
      </x:c>
      <x:c r="I99" s="3" t="str">
        <x:v>Knowledge-building and tutoring researchers</x:v>
      </x:c>
      <x:c r="J99" s="3" t="str">
        <x:v>Planned multimodal dataset/benchmark for AI-enabled formative assessment</x:v>
      </x:c>
      <x:c r="K99" s="3" t="str">
        <x:v>None identified</x:v>
      </x:c>
      <x:c r="L99" s="3" t="str">
        <x:v>Planned</x:v>
      </x:c>
      <x:c r="M99" s="3" t="str">
        <x:v>No / unclear</x:v>
      </x:c>
      <x:c r="N99" s="3" t="str">
        <x:v>Open dataset/benchmark promised</x:v>
      </x:c>
      <x:c r="O99" s="3" t="str">
        <x:v>Not yet available at cutoff</x:v>
      </x:c>
      <x:c r="P99" s="3" t="str">
        <x:v>Exact licence not yet published</x:v>
      </x:c>
      <x:c r="Q99" s="3" t="str">
        <x:v>Pre-output / no evaluation</x:v>
      </x:c>
      <x:c r="R99" s="3" t="str">
        <x:v>Strong research setting; no asset, privacy protocol or validation results yet.</x:v>
      </x:c>
      <x:c r="S99" s="3" t="str">
        <x:v>K–12 AI Infrastructure grantee</x:v>
      </x:c>
      <x:c r="T99" s="3" t="str">
        <x:v>Shared multimodal evaluation infrastructure</x:v>
      </x:c>
      <x:c r="U99" s="3" t="str">
        <x:v>Student multimodal data demand rigorous consent and controlled access</x:v>
      </x:c>
      <x:c r="V99" s="3" t="str">
        <x:v>Do not infer openness or quality until artefacts ship.</x:v>
      </x:c>
      <x:c r="W99" s="3" t="str">
        <x:v>Watchlist — pre-output</x:v>
      </x:c>
      <x:c r="X99" s="3" t="str">
        <x:v>High on existence; lower on effects</x:v>
      </x:c>
      <x:c r="Y99" s="3" t="str">
        <x:v>https://digitalpromise.org/2026/06/29/digital-promise-announces-first-grantees-of-the-k-12-ai-infrastructure-program/</x:v>
      </x:c>
      <x:c r="Z99" s="3"/>
      <x:c r="AA99" s="9" t="n">
        <x:v>46268</x:v>
      </x:c>
      <x:c r="AB99" s="3" t="str">
        <x:v>Planned / unspecified</x:v>
      </x:c>
      <x:c r="AC99" s="9" t="n">
        <x:v>46268</x:v>
      </x:c>
      <x:c r="AD99" s="3" t="str"/>
      <x:c r="AE99" s="11" t="n">
        <x:f>COUNTIF('Sources'!$A$6:$A$196,A99)</x:f>
        <x:v>1</x:v>
      </x:c>
    </x:row>
    <x:row r="100" ht="38" customHeight="1">
      <x:c r="A100" s="3" t="str">
        <x:v>P095</x:v>
      </x:c>
      <x:c r="B100" s="3" t="str">
        <x:v>Khan Tutoring Accuracy Dataset</x:v>
      </x:c>
      <x:c r="C100" s="3" t="str">
        <x:v>AI × education × open</x:v>
      </x:c>
      <x:c r="D100" s="3" t="str">
        <x:v>AI-tutor evaluation dataset</x:v>
      </x:c>
      <x:c r="E100" s="3" t="str">
        <x:v>Khan Academy</x:v>
      </x:c>
      <x:c r="F100" s="3" t="str">
        <x:v>North America</x:v>
      </x:c>
      <x:c r="G100" s="3" t="str">
        <x:v>United States / global research use</x:v>
      </x:c>
      <x:c r="H100" s="3" t="str">
        <x:v>Public repository</x:v>
      </x:c>
      <x:c r="I100" s="3" t="str">
        <x:v>AI tutoring developers and evaluators</x:v>
      </x:c>
      <x:c r="J100" s="3" t="str">
        <x:v>Mathematical correctness and tutoring-quality evaluation resources</x:v>
      </x:c>
      <x:c r="K100" s="3" t="str">
        <x:v>None identified</x:v>
      </x:c>
      <x:c r="L100" s="3" t="str">
        <x:v>No</x:v>
      </x:c>
      <x:c r="M100" s="3" t="str">
        <x:v>Partial / unresolved</x:v>
      </x:c>
      <x:c r="N100" s="3" t="str">
        <x:v>Dataset public but reusable licence unclear</x:v>
      </x:c>
      <x:c r="O100" s="3" t="str">
        <x:v>Public</x:v>
      </x:c>
      <x:c r="P100" s="3" t="str">
        <x:v>No clear detected licence; verify before reuse</x:v>
      </x:c>
      <x:c r="Q100" s="3" t="str">
        <x:v>Technical benchmark</x:v>
      </x:c>
      <x:c r="R100" s="3" t="str">
        <x:v>Useful evaluation seed; benchmark evidence does not establish learning impact.</x:v>
      </x:c>
      <x:c r="S100" s="3" t="str">
        <x:v>Education nonprofit</x:v>
      </x:c>
      <x:c r="T100" s="3" t="str">
        <x:v>Improves transparency of tutoring-model accuracy</x:v>
      </x:c>
      <x:c r="U100" s="3" t="str">
        <x:v>Dataset construction and source provenance need review</x:v>
      </x:c>
      <x:c r="V100" s="3" t="str">
        <x:v>Public GitHub is not automatically open data.</x:v>
      </x:c>
      <x:c r="W100" s="3" t="str">
        <x:v>Watchlist — licence diligence</x:v>
      </x:c>
      <x:c r="X100" s="3" t="str">
        <x:v>High on existence; lower on effects</x:v>
      </x:c>
      <x:c r="Y100" s="3" t="str">
        <x:v>https://github.com/Khan/tutoring-accuracy-dataset</x:v>
      </x:c>
      <x:c r="Z100" s="3"/>
      <x:c r="AA100" s="9" t="n">
        <x:v>46268</x:v>
      </x:c>
      <x:c r="AB100" s="3" t="str">
        <x:v>Public repository</x:v>
      </x:c>
      <x:c r="AC100" s="9" t="n">
        <x:v>46268</x:v>
      </x:c>
      <x:c r="AD100" s="3" t="str"/>
      <x:c r="AE100" s="11" t="n">
        <x:f>COUNTIF('Sources'!$A$6:$A$196,A100)</x:f>
        <x:v>1</x:v>
      </x:c>
    </x:row>
    <x:row r="101" ht="51" customHeight="1">
      <x:c r="A101" s="3" t="str">
        <x:v>P096</x:v>
      </x:c>
      <x:c r="B101" s="3" t="str">
        <x:v>TeachSim on Open edX</x:v>
      </x:c>
      <x:c r="C101" s="3" t="str">
        <x:v>AI × education × open</x:v>
      </x:c>
      <x:c r="D101" s="3" t="str">
        <x:v>AI-supported teacher simulation</x:v>
      </x:c>
      <x:c r="E101" s="3" t="str">
        <x:v>University of Virginia with Edly and Mursion</x:v>
      </x:c>
      <x:c r="F101" s="3" t="str">
        <x:v>North America</x:v>
      </x:c>
      <x:c r="G101" s="3" t="str">
        <x:v>United States</x:v>
      </x:c>
      <x:c r="H101" s="3" t="str">
        <x:v>Case study published Aug 2026</x:v>
      </x:c>
      <x:c r="I101" s="3" t="str">
        <x:v>Teacher candidates and educator-preparation programmes</x:v>
      </x:c>
      <x:c r="J101" s="3" t="str">
        <x:v>Generative-AI virtual students, rubric-aligned coaching and Open edX integration</x:v>
      </x:c>
      <x:c r="K101" s="3" t="str">
        <x:v>Open edX XBlock, SSO and SCORM</x:v>
      </x:c>
      <x:c r="L101" s="3" t="str">
        <x:v>Uses SCORM/open platform interfaces</x:v>
      </x:c>
      <x:c r="M101" s="3" t="str">
        <x:v>No / unclear</x:v>
      </x:c>
      <x:c r="N101" s="3" t="str">
        <x:v>Mixed</x:v>
      </x:c>
      <x:c r="O101" s="3" t="str">
        <x:v>Institutional programme</x:v>
      </x:c>
      <x:c r="P101" s="3" t="str">
        <x:v>Open host with proprietary/unclear simulation stack</x:v>
      </x:c>
      <x:c r="Q101" s="3" t="str">
        <x:v>Structured implementation evidence</x:v>
      </x:c>
      <x:c r="R101" s="3" t="str">
        <x:v>Current case claims may partly inherit earlier human-mediated simulation evidence; GenAI-specific impact is not isolated.</x:v>
      </x:c>
      <x:c r="S101" s="3" t="str">
        <x:v>University programme with platform/vendor partners</x:v>
      </x:c>
      <x:c r="T101" s="3" t="str">
        <x:v>Scalable teacher practice and feedback</x:v>
      </x:c>
      <x:c r="U101" s="3" t="str">
        <x:v>Teacher performance and simulated-interaction logs need governance</x:v>
      </x:c>
      <x:c r="V101" s="3" t="str">
        <x:v>Open platform does not make the full AI service open.</x:v>
      </x:c>
      <x:c r="W101" s="3" t="str">
        <x:v>Boundary case</x:v>
      </x:c>
      <x:c r="X101" s="3" t="str">
        <x:v>High on existence; lower on effects</x:v>
      </x:c>
      <x:c r="Y101" s="3" t="str">
        <x:v>https://openedx.org/case-studies/teachsim-ai-powered-teacher-training-built-on-the-open-edx-platform/</x:v>
      </x:c>
      <x:c r="Z101" s="3" t="str">
        <x:v>https://openedx.org/</x:v>
      </x:c>
      <x:c r="AA101" s="9" t="n">
        <x:v>46268</x:v>
      </x:c>
      <x:c r="AB101" s="3" t="str">
        <x:v>Open edX is open; TeachSim AI components not shown open</x:v>
      </x:c>
      <x:c r="AC101" s="9" t="n">
        <x:v>46268</x:v>
      </x:c>
      <x:c r="AD101" s="3" t="str"/>
      <x:c r="AE101" s="11" t="n">
        <x:f>COUNTIF('Sources'!$A$6:$A$196,A101)</x:f>
        <x:v>2</x:v>
      </x:c>
    </x:row>
    <x:row r="102" ht="51" customHeight="1">
      <x:c r="A102" s="3" t="str">
        <x:v>P097</x:v>
      </x:c>
      <x:c r="B102" s="3" t="str">
        <x:v>UBC OER-AI Assistant</x:v>
      </x:c>
      <x:c r="C102" s="3" t="str">
        <x:v>AI × education × open</x:v>
      </x:c>
      <x:c r="D102" s="3" t="str">
        <x:v>OER-grounded RAG prototype</x:v>
      </x:c>
      <x:c r="E102" s="3" t="str">
        <x:v>University of British Columbia Cloud Innovation Centre</x:v>
      </x:c>
      <x:c r="F102" s="3" t="str">
        <x:v>North America</x:v>
      </x:c>
      <x:c r="G102" s="3" t="str">
        <x:v>Canada</x:v>
      </x:c>
      <x:c r="H102" s="3" t="str">
        <x:v>Open prototype / research code</x:v>
      </x:c>
      <x:c r="I102" s="3" t="str">
        <x:v>Students, instructors and education developers</x:v>
      </x:c>
      <x:c r="J102" s="3" t="str">
        <x:v>Conversational retrieval over OER textbooks using multimodal embeddings</x:v>
      </x:c>
      <x:c r="K102" s="3" t="str">
        <x:v>Repository/API architecture; no formal education standard identified</x:v>
      </x:c>
      <x:c r="L102" s="3" t="str">
        <x:v>Partial</x:v>
      </x:c>
      <x:c r="M102" s="3" t="str">
        <x:v>Yes</x:v>
      </x:c>
      <x:c r="N102" s="3" t="str">
        <x:v>Uses OER textbooks; source licences vary</x:v>
      </x:c>
      <x:c r="O102" s="3" t="str">
        <x:v>Self-hostable prototype</x:v>
      </x:c>
      <x:c r="P102" s="3" t="str">
        <x:v>Repository/component terms require verification</x:v>
      </x:c>
      <x:c r="Q102" s="3" t="str">
        <x:v>Prototype / technical demonstration</x:v>
      </x:c>
      <x:c r="R102" s="3" t="str">
        <x:v>Demonstrates OER-grounded assistant architecture; no robust classroom outcome evaluation located.</x:v>
      </x:c>
      <x:c r="S102" s="3" t="str">
        <x:v>University innovation project</x:v>
      </x:c>
      <x:c r="T102" s="3" t="str">
        <x:v>Grounds AI in reusable educational content</x:v>
      </x:c>
      <x:c r="U102" s="3" t="str">
        <x:v>Prompt and document handling depend on deployment/cloud services</x:v>
      </x:c>
      <x:c r="V102" s="3" t="str">
        <x:v>Prototype status and licence/dependency audit needed.</x:v>
      </x:c>
      <x:c r="W102" s="3" t="str">
        <x:v>Watchlist — explicit intersection</x:v>
      </x:c>
      <x:c r="X102" s="3" t="str">
        <x:v>High on existence; lower on effects</x:v>
      </x:c>
      <x:c r="Y102" s="3" t="str">
        <x:v>https://github.com/UBC-CIC/OER-AI</x:v>
      </x:c>
      <x:c r="Z102" s="3"/>
      <x:c r="AA102" s="9" t="n">
        <x:v>46268</x:v>
      </x:c>
      <x:c r="AB102" s="3" t="str">
        <x:v>Yes / public repository</x:v>
      </x:c>
      <x:c r="AC102" s="9" t="n">
        <x:v>46268</x:v>
      </x:c>
      <x:c r="AD102" s="3" t="str"/>
      <x:c r="AE102" s="11" t="n">
        <x:f>COUNTIF('Sources'!$A$6:$A$196,A102)</x:f>
        <x:v>1</x:v>
      </x:c>
    </x:row>
    <x:row r="103" ht="51" customHeight="1">
      <x:c r="A103" s="3" t="str">
        <x:v>P098</x:v>
      </x:c>
      <x:c r="B103" s="3" t="str">
        <x:v>Generative Textbooks</x:v>
      </x:c>
      <x:c r="C103" s="3" t="str">
        <x:v>AI × education × open</x:v>
      </x:c>
      <x:c r="D103" s="3" t="str">
        <x:v>Open AI-generated textbook prototype</x:v>
      </x:c>
      <x:c r="E103" s="3" t="str">
        <x:v>Open education researchers / community</x:v>
      </x:c>
      <x:c r="F103" s="3" t="str">
        <x:v>North America</x:v>
      </x:c>
      <x:c r="G103" s="3" t="str">
        <x:v>United States / global OER community</x:v>
      </x:c>
      <x:c r="H103" s="3" t="str">
        <x:v>Prototype publicised in 2026</x:v>
      </x:c>
      <x:c r="I103" s="3" t="str">
        <x:v>Educators, learners and open-content developers</x:v>
      </x:c>
      <x:c r="J103" s="3" t="str">
        <x:v>Prototype combining generative AI with openly licensed educational content</x:v>
      </x:c>
      <x:c r="K103" s="3" t="str">
        <x:v>None identified</x:v>
      </x:c>
      <x:c r="L103" s="3" t="str">
        <x:v>Unclear</x:v>
      </x:c>
      <x:c r="M103" s="3" t="str">
        <x:v>Partial / unresolved</x:v>
      </x:c>
      <x:c r="N103" s="3" t="str">
        <x:v>OER-oriented</x:v>
      </x:c>
      <x:c r="O103" s="3" t="str">
        <x:v>Public prototype</x:v>
      </x:c>
      <x:c r="P103" s="3" t="str">
        <x:v>Verify exact code and generated-content terms</x:v>
      </x:c>
      <x:c r="Q103" s="3" t="str">
        <x:v>Prototype / no outcome evidence</x:v>
      </x:c>
      <x:c r="R103" s="3" t="str">
        <x:v>Concept and prototype are discoverable; evaluation, provenance and quality-assurance evidence are early.</x:v>
      </x:c>
      <x:c r="S103" s="3" t="str">
        <x:v>Open-education community initiative</x:v>
      </x:c>
      <x:c r="T103" s="3" t="str">
        <x:v>Explores adaptable textbooks and OER reuse</x:v>
      </x:c>
      <x:c r="U103" s="3" t="str">
        <x:v>Low learner-data exposure unless personalised features are added</x:v>
      </x:c>
      <x:c r="V103" s="3" t="str">
        <x:v>Generated-content provenance, factuality and licence compatibility are unresolved.</x:v>
      </x:c>
      <x:c r="W103" s="3" t="str">
        <x:v>Watchlist — early prototype</x:v>
      </x:c>
      <x:c r="X103" s="3" t="str">
        <x:v>Medium</x:v>
      </x:c>
      <x:c r="Y103" s="3" t="str">
        <x:v>https://generativetextbooks.org/</x:v>
      </x:c>
      <x:c r="Z103" s="3" t="str">
        <x:v>https://opencontent.org/blog/</x:v>
      </x:c>
      <x:c r="AA103" s="9" t="n">
        <x:v>46268</x:v>
      </x:c>
      <x:c r="AB103" s="3" t="str">
        <x:v>Claimed open source; repository/licence needs verification</x:v>
      </x:c>
      <x:c r="AC103" s="9" t="n">
        <x:v>46268</x:v>
      </x:c>
      <x:c r="AD103" s="3" t="str"/>
      <x:c r="AE103" s="11" t="n">
        <x:f>COUNTIF('Sources'!$A$6:$A$196,A103)</x:f>
        <x:v>2</x:v>
      </x:c>
    </x:row>
    <x:row r="104" ht="51" customHeight="1">
      <x:c r="A104" s="3" t="str">
        <x:v>P099</x:v>
      </x:c>
      <x:c r="B104" s="3" t="str">
        <x:v>SmartLearning Hub AI Tutor</x:v>
      </x:c>
      <x:c r="C104" s="3" t="str">
        <x:v>AI × education × open</x:v>
      </x:c>
      <x:c r="D104" s="3" t="str">
        <x:v>Open higher-education tutor pilot</x:v>
      </x:c>
      <x:c r="E104" s="3" t="str">
        <x:v>UC San Diego Laboratory for Emerging Intelligence</x:v>
      </x:c>
      <x:c r="F104" s="3" t="str">
        <x:v>North America</x:v>
      </x:c>
      <x:c r="G104" s="3" t="str">
        <x:v>California, United States</x:v>
      </x:c>
      <x:c r="H104" s="3" t="str">
        <x:v>Pilot expansion in 2025–26</x:v>
      </x:c>
      <x:c r="I104" s="3" t="str">
        <x:v>University and community-college learners</x:v>
      </x:c>
      <x:c r="J104" s="3" t="str">
        <x:v>Open-source bespoke LLM tutor that guides rather than gives answers</x:v>
      </x:c>
      <x:c r="K104" s="3" t="str">
        <x:v>None identified</x:v>
      </x:c>
      <x:c r="L104" s="3" t="str">
        <x:v>No</x:v>
      </x:c>
      <x:c r="M104" s="3" t="str">
        <x:v>Partial / unresolved</x:v>
      </x:c>
      <x:c r="N104" s="3" t="str">
        <x:v>Course grounding depends on institution</x:v>
      </x:c>
      <x:c r="O104" s="3" t="str">
        <x:v>Pilot deployment</x:v>
      </x:c>
      <x:c r="P104" s="3" t="str">
        <x:v>Needs repository-level verification</x:v>
      </x:c>
      <x:c r="Q104" s="3" t="str">
        <x:v>Structured user evaluation</x:v>
      </x:c>
      <x:c r="R104" s="3" t="str">
        <x:v>Nearly 70% positive student perceptions reported; broader learning assessment and expansion are underway.</x:v>
      </x:c>
      <x:c r="S104" s="3" t="str">
        <x:v>University-led with California public funding</x:v>
      </x:c>
      <x:c r="T104" s="3" t="str">
        <x:v>Broaden access to course-specific instructional help</x:v>
      </x:c>
      <x:c r="U104" s="3" t="str">
        <x:v>Course/student interactions and model provider handling need review</x:v>
      </x:c>
      <x:c r="V104" s="3" t="str">
        <x:v>Perception data are not learning outcomes; open-source claim needs legal verification.</x:v>
      </x:c>
      <x:c r="W104" s="3" t="str">
        <x:v>Watchlist — promising pilot</x:v>
      </x:c>
      <x:c r="X104" s="3" t="str">
        <x:v>High on existence; lower on effects</x:v>
      </x:c>
      <x:c r="Y104" s="3" t="str">
        <x:v>https://today.ucsd.edu/story/this-bespoke-ai-tutor-helps-students-learning</x:v>
      </x:c>
      <x:c r="Z104" s="3"/>
      <x:c r="AA104" s="9" t="n">
        <x:v>46268</x:v>
      </x:c>
      <x:c r="AB104" s="3" t="str">
        <x:v>Claimed open source; repository/licence not surfaced in this pass</x:v>
      </x:c>
      <x:c r="AC104" s="9" t="n">
        <x:v>46268</x:v>
      </x:c>
      <x:c r="AD104" s="3" t="str"/>
      <x:c r="AE104" s="11" t="n">
        <x:f>COUNTIF('Sources'!$A$6:$A$196,A104)</x:f>
        <x:v>1</x:v>
      </x:c>
    </x:row>
    <x:row r="105" ht="51" customHeight="1">
      <x:c r="A105" s="3" t="str">
        <x:v>P100</x:v>
      </x:c>
      <x:c r="B105" s="3" t="str">
        <x:v>Kindly</x:v>
      </x:c>
      <x:c r="C105" s="3" t="str">
        <x:v>AI × education × open</x:v>
      </x:c>
      <x:c r="D105" s="3" t="str">
        <x:v>Open AI for child online safety</x:v>
      </x:c>
      <x:c r="E105" s="3" t="str">
        <x:v>UNICEF Office of Innovation with partners</x:v>
      </x:c>
      <x:c r="F105" s="3" t="str">
        <x:v>Global</x:v>
      </x:c>
      <x:c r="G105" s="3" t="str">
        <x:v>Global / youth-focused</x:v>
      </x:c>
      <x:c r="H105" s="3" t="str">
        <x:v>Open-source initiative; current operating status needs confirmation</x:v>
      </x:c>
      <x:c r="I105" s="3" t="str">
        <x:v>Young people, schools and digital platforms</x:v>
      </x:c>
      <x:c r="J105" s="3" t="str">
        <x:v>AI intended to detect and interrupt cyberbullying while supporting kinder online interaction</x:v>
      </x:c>
      <x:c r="K105" s="3" t="str">
        <x:v>None identified</x:v>
      </x:c>
      <x:c r="L105" s="3" t="str">
        <x:v>No</x:v>
      </x:c>
      <x:c r="M105" s="3" t="str">
        <x:v>Partial / unresolved</x:v>
      </x:c>
      <x:c r="N105" s="3" t="str">
        <x:v>Training resources and model/data details vary</x:v>
      </x:c>
      <x:c r="O105" s="3" t="str">
        <x:v>Public-interest project</x:v>
      </x:c>
      <x:c r="P105" s="3" t="str">
        <x:v>Verify current repositories and dataset terms</x:v>
      </x:c>
      <x:c r="Q105" s="3" t="str">
        <x:v>Prototype / implementation evidence</x:v>
      </x:c>
      <x:c r="R105" s="3" t="str">
        <x:v>Strong child-rights framing; independent effectiveness, false-positive and current maintenance evidence are limited.</x:v>
      </x:c>
      <x:c r="S105" s="3" t="str">
        <x:v>UNICEF innovation programme and partners</x:v>
      </x:c>
      <x:c r="T105" s="3" t="str">
        <x:v>Child safety and prosocial digital participation</x:v>
      </x:c>
      <x:c r="U105" s="3" t="str">
        <x:v>Content moderation involving minors creates sensitive speech, bias and due-process risks</x:v>
      </x:c>
      <x:c r="V105" s="3" t="str">
        <x:v>Confirm present status, licence, languages and evaluation before prioritising.</x:v>
      </x:c>
      <x:c r="W105" s="3" t="str">
        <x:v>Watchlist — public-good AI</x:v>
      </x:c>
      <x:c r="X105" s="3" t="str">
        <x:v>Medium</x:v>
      </x:c>
      <x:c r="Y105" s="3" t="str">
        <x:v>https://www.unicef.org/innovation/end-cyberbullying-kindly</x:v>
      </x:c>
      <x:c r="Z105" s="3"/>
      <x:c r="AA105" s="9" t="n">
        <x:v>46268</x:v>
      </x:c>
      <x:c r="AB105" s="3" t="str">
        <x:v>Claimed open source / repository verification needed</x:v>
      </x:c>
      <x:c r="AC105" s="9" t="n">
        <x:v>46268</x:v>
      </x:c>
      <x:c r="AD105" s="3" t="str"/>
      <x:c r="AE105" s="11" t="n">
        <x:f>COUNTIF('Sources'!$A$6:$A$196,A105)</x:f>
        <x:v>1</x:v>
      </x:c>
    </x:row>
    <x:row r="106" ht="285" customHeight="1">
      <x:c r="A106" s="3" t="str">
        <x:v>P101</x:v>
      </x:c>
      <x:c r="B106" s="3" t="str">
        <x:v>England AI Tutoring Pioneers / Sovereign Education Benchmark / EdTech Testbeds</x:v>
      </x:c>
      <x:c r="C106" s="3" t="str">
        <x:v>AI × education</x:v>
      </x:c>
      <x:c r="D106" s="3" t="str">
        <x:v>Public AI-tutoring R&amp;D, evaluation infrastructure and school testbeds</x:v>
      </x:c>
      <x:c r="E106" s="3" t="str">
        <x:v>i.AI / Department for Science, Innovation and Technology, with the Department for Education and programme partners</x:v>
      </x:c>
      <x:c r="F106" s="3" t="str">
        <x:v>Europe</x:v>
      </x:c>
      <x:c r="G106" s="3" t="str">
        <x:v>England</x:v>
      </x:c>
      <x:c r="H106" s="3" t="str">
        <x:v>AI Tutoring Pioneers is funded/procured shared R&amp;D, with eight contracts running to 31 March 2027; the Sovereign Education Benchmark remains in discovery with no public benchmark release located; EdTech Testbeds are funded and entering pilot/evaluation activity, with no programme results located</x:v>
      </x:c>
      <x:c r="I106" s="3" t="str">
        <x:v>Disadvantaged secondary pupils, teachers, schools, AI-tutoring developers, evaluators and public procurers</x:v>
      </x:c>
      <x:c r="J106" s="3" t="str">
        <x:v>Tutoring prototypes, a co-designed common standard, shared programme research intended for a public Reading Room, teacher-authored benchmark scenarios and criteria, and school-based testbed evidence</x:v>
      </x:c>
      <x:c r="K106" s="3" t="str">
        <x:v>A common tutoring standard and Sovereign Education Benchmark are intended; no versioned specification, conformance method, benchmark task set or results were public at the cut-off</x:v>
      </x:c>
      <x:c r="L106" s="3" t="str">
        <x:v>Intended to become public; not yet published</x:v>
      </x:c>
      <x:c r="M106" s="3" t="str">
        <x:v>No / unclear</x:v>
      </x:c>
      <x:c r="N106" s="3" t="str">
        <x:v>Shared programme research is intended for a public Reading Room; no public benchmark dataset, tasks or results located</x:v>
      </x:c>
      <x:c r="O106" s="3" t="str">
        <x:v>Contracted R&amp;D and school testing; not an operational national tutoring service</x:v>
      </x:c>
      <x:c r="P106" s="3" t="str">
        <x:v>No licence located for the prospective common standard, benchmark or Reading Room materials</x:v>
      </x:c>
      <x:c r="Q106" s="3" t="str">
        <x:v>Procurement record, programme description, affected-practitioner perception evidence and peer-reviewed documentary policy analysis</x:v>
      </x:c>
      <x:c r="R106" s="3" t="str">
        <x:v>Official sources establish a connected but differently mature programme: tutoring prototypes have been procured for shared R&amp;D; the benchmark remains in discovery; and testbed evaluation has been funded but has not reported effects. NEU parliamentary evidence published 9 June 2026 reports that, among 9,408 surveyed teachers in English state schools from 5–16 February, 49% disagreed with the AI-tutoring proposal and 36% were uncertain. That is affected-practitioner perception evidence from a reweighted, self-selected union-member survey, not a product trial or pupil-outcome evaluation. Williamson and colleagues' peer-reviewed analysis, published online 25 August, interprets the programme as standard-setting through live experimentation; this is a governance interpretation, not evidence of educational effect, market capture or misconduct. The author's programme synthesis was published 27 August.</x:v>
      </x:c>
      <x:c r="S106" s="3" t="str">
        <x:v>Publicly commissioned R&amp;D with i.AI/DSIT ownership of the shared common standard and research; commercial participants retain prototype foreground IP and may have interests in a later market</x:v>
      </x:c>
      <x:c r="T106" s="3" t="str">
        <x:v>Explicit focus on disadvantaged pupils, teacher-informed evaluation and reusable public programme learning</x:v>
      </x:c>
      <x:c r="U106" s="3" t="str">
        <x:v>Intended benchmark and trials cover safety, accessibility and inclusion; school testing and any pupil data require published safeguarding, child-rights and data-protection controls</x:v>
      </x:c>
      <x:c r="V106" s="3" t="str">
        <x:v>Procurement does not establish a national service, a completed standard or pupil benefit. The Williamson blog preserves stale supplier details—six firms, Google, and an incorrect Anthropic/Pearson association—and must not supersede the final procurement record, which establishes eight contracts and the final PA Consulting / Anthropic / Developing Experts team.</x:v>
      </x:c>
      <x:c r="W106" s="3" t="str">
        <x:v>High-priority national programme and governance case</x:v>
      </x:c>
      <x:c r="X106" s="3" t="str">
        <x:v>High on programme existence and final procurement; medium on governance interpretation; low / no evidence on effects</x:v>
      </x:c>
      <x:c r="Y106" s="3" t="str">
        <x:v>https://ai.gov.uk/our-work/education/</x:v>
      </x:c>
      <x:c r="Z106" s="3" t="str">
        <x:v>https://www.find-tender.service.gov.uk/procurement/ocds-h6vhtk-069256</x:v>
      </x:c>
      <x:c r="AA106" s="9" t="n">
        <x:v>46269</x:v>
      </x:c>
      <x:c r="AB106" s="3" t="str">
        <x:v>No common programme code release identified; suppliers retain foreground intellectual property in their prototypes</x:v>
      </x:c>
      <x:c r="AC106" s="9" t="n">
        <x:v>46269</x:v>
      </x:c>
      <x:c r="AD106" s="3" t="str">
        <x:v>P101 supplier/role and publication-force wording is disputed; see document 10, source contradictions. Original discovery wording remains visible.</x:v>
      </x:c>
      <x:c r="AE106" s="11" t="n">
        <x:f>COUNTIF('Sources'!$A$6:$A$196,A106)</x:f>
        <x:v>5</x:v>
      </x:c>
    </x:row>
    <x:row r="107" ht="103" customHeight="1">
      <x:c r="A107" s="3" t="str">
        <x:v>P102</x:v>
      </x:c>
      <x:c r="B107" s="3" t="str">
        <x:v>i.AI petri-edu</x:v>
      </x:c>
      <x:c r="C107" s="3" t="str">
        <x:v>AI × education × open</x:v>
      </x:c>
      <x:c r="D107" s="3" t="str">
        <x:v>Education-specialised model-behaviour and alignment auditing tooling</x:v>
      </x:c>
      <x:c r="E107" s="3" t="str">
        <x:v>i.AI</x:v>
      </x:c>
      <x:c r="F107" s="3" t="str">
        <x:v>Europe</x:v>
      </x:c>
      <x:c r="G107" s="3" t="str">
        <x:v>United Kingdom</x:v>
      </x:c>
      <x:c r="H107" s="3" t="str">
        <x:v>Public first-party repository created 11 February 2026; education-release branch adaptations were made through 2 June 2026</x:v>
      </x:c>
      <x:c r="I107" s="3" t="str">
        <x:v>Government AI researchers, education-safety evaluators and developers</x:v>
      </x:c>
      <x:c r="J107" s="3" t="str">
        <x:v>An education-specialised fork of the Petri alignment-auditing agent, including target-tool and deployment-related adaptations on the education-release branch</x:v>
      </x:c>
      <x:c r="K107" s="3" t="str">
        <x:v>Repository implementation; no education interoperability or benchmark specification identified</x:v>
      </x:c>
      <x:c r="L107" s="3" t="str">
        <x:v>No</x:v>
      </x:c>
      <x:c r="M107" s="3" t="str">
        <x:v>Yes</x:v>
      </x:c>
      <x:c r="N107" s="3" t="str">
        <x:v>Code is public; no public education-specific scenarios, benchmark dataset or results located</x:v>
      </x:c>
      <x:c r="O107" s="3" t="str">
        <x:v>Public GitHub repository; operational deployment status not established</x:v>
      </x:c>
      <x:c r="P107" s="3" t="str">
        <x:v>MIT</x:v>
      </x:c>
      <x:c r="Q107" s="3" t="str">
        <x:v>First-party public code artefact / discovery-stage technical evidence</x:v>
      </x:c>
      <x:c r="R107" s="3" t="str">
        <x:v>The repository is tangible, inspectable evidence that i.AI has adapted automated model-behaviour auditing towards education. It does not establish an education-specific evaluation corpus, validated findings, classroom use or a role in the Sovereign Education Benchmark.</x:v>
      </x:c>
      <x:c r="S107" s="3" t="str">
        <x:v>First-party i.AI repository with attributable public branch history</x:v>
      </x:c>
      <x:c r="T107" s="3" t="str">
        <x:v>Potentially reusable public evaluation tooling; education-specific public benefit is not yet evidenced</x:v>
      </x:c>
      <x:c r="U107" s="3" t="str">
        <x:v>The apparent purpose is safety/alignment auditing, but no education-specific scenarios, data-governance process or results were located</x:v>
      </x:c>
      <x:c r="V107" s="3" t="str">
        <x:v>No public education-specific scenarios, results, governance documentation or verified link to the Sovereign Education Benchmark was found; do not treat the repository as an implementation of that benchmark.</x:v>
      </x:c>
      <x:c r="W107" s="3" t="str">
        <x:v>Watchlist — open evaluation tooling with unverified programme role</x:v>
      </x:c>
      <x:c r="X107" s="3" t="str">
        <x:v>High on artefact and MIT licence; low on education-specific outputs, programme relationship and effects</x:v>
      </x:c>
      <x:c r="Y107" s="3" t="str">
        <x:v>https://github.com/i-dot-ai/petri-edu</x:v>
      </x:c>
      <x:c r="Z107" s="3" t="str">
        <x:v>https://github.com/i-dot-ai/petri-edu/tree/jearly/edu-release</x:v>
      </x:c>
      <x:c r="AA107" s="9" t="n">
        <x:v>46269</x:v>
      </x:c>
      <x:c r="AB107" s="3" t="str">
        <x:v>Yes</x:v>
      </x:c>
      <x:c r="AC107" s="9" t="n">
        <x:v>46269</x:v>
      </x:c>
      <x:c r="AD107" s="3" t="str"/>
      <x:c r="AE107" s="11" t="n">
        <x:f>COUNTIF('Sources'!$A$6:$A$196,A107)</x:f>
        <x:v>2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56046b2ebecd4b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65" hidden="0" customWidth="1"/>
  </x:cols>
  <x:sheetData>
    <x:row r="1" ht="38" customHeight="1">
      <x:c r="A1" s="5" t="str">
        <x:v>Explicit AI, education and open intersection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</x:row>
    <x:row r="2" ht="27" customHeight="1">
      <x:c r="A2" s="7" t="str">
        <x:v>36 records selected from the dated Landscape. Cells link to their source rows; membership records this snapshot. Refilter Landscape if categories or records change. The open-code class is broad; detailed qualifications are in Landscape column AB.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</x:row>
    <x:row r="3" ht="27" customHeight="1">
      <x:c r="A3" s="7"/>
      <x:c r="B3" s="7"/>
      <x:c r="C3" s="7"/>
      <x:c r="D3" s="7"/>
      <x:c r="E3" s="7"/>
      <x:c r="F3" s="7"/>
      <x:c r="G3" s="3"/>
      <x:c r="H3" s="3"/>
      <x:c r="I3" s="3"/>
      <x:c r="J3" s="3"/>
      <x:c r="K3" s="3"/>
      <x:c r="L3" s="3"/>
    </x:row>
    <x:row r="4" ht="3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4" customHeight="1">
      <x:c r="A5" s="8" t="str">
        <x:v>ID</x:v>
      </x:c>
      <x:c r="B5" s="8" t="str">
        <x:v>Initiative</x:v>
      </x:c>
      <x:c r="C5" s="8" t="str">
        <x:v>Region</x:v>
      </x:c>
      <x:c r="D5" s="8" t="str">
        <x:v>Layer</x:v>
      </x:c>
      <x:c r="E5" s="8" t="str">
        <x:v>Status</x:v>
      </x:c>
      <x:c r="F5" s="8" t="str">
        <x:v>Open spec</x:v>
      </x:c>
      <x:c r="G5" s="8" t="str">
        <x:v>Open code</x:v>
      </x:c>
      <x:c r="H5" s="8" t="str">
        <x:v>Open assets</x:v>
      </x:c>
      <x:c r="I5" s="8" t="str">
        <x:v>Evidence</x:v>
      </x:c>
      <x:c r="J5" s="8" t="str">
        <x:v>Why track</x:v>
      </x:c>
      <x:c r="K5" s="8" t="str">
        <x:v>Key caveat</x:v>
      </x:c>
      <x:c r="L5" s="8" t="str">
        <x:v>Primary source</x:v>
      </x:c>
    </x:row>
    <x:row r="6" ht="38" customHeight="1">
      <x:c r="A6" s="3" t="str">
        <x:f>'Landscape'!A15</x:f>
        <x:v>P010</x:v>
      </x:c>
      <x:c r="B6" s="3" t="str">
        <x:f>'Landscape'!B15</x:f>
        <x:v>Shiksha Copilot</x:v>
      </x:c>
      <x:c r="C6" s="3" t="str">
        <x:f>'Landscape'!F15</x:f>
        <x:v>Asia</x:v>
      </x:c>
      <x:c r="D6" s="3" t="str">
        <x:f>'Landscape'!D15</x:f>
        <x:v>Teacher planning copilot</x:v>
      </x:c>
      <x:c r="E6" s="3" t="str">
        <x:f>'Landscape'!H15</x:f>
        <x:v>Field deployment from 2023; open repository released</x:v>
      </x:c>
      <x:c r="F6" s="3" t="str">
        <x:f>'Landscape'!L15</x:f>
        <x:v>No</x:v>
      </x:c>
      <x:c r="G6" s="3" t="str">
        <x:f>'Landscape'!M15</x:f>
        <x:v>Yes</x:v>
      </x:c>
      <x:c r="H6" s="3" t="str">
        <x:f>'Landscape'!N15</x:f>
        <x:v>Code open; content/provider dependencies mixed</x:v>
      </x:c>
      <x:c r="I6" s="3" t="str">
        <x:f>'Landscape'!Q15</x:f>
        <x:v>Peer-reviewed / mixed-method field study</x:v>
      </x:c>
      <x:c r="J6" s="3" t="str">
        <x:f>'Landscape'!W15</x:f>
        <x:v>Strong explicit-intersection candidate</x:v>
      </x:c>
      <x:c r="K6" s="3" t="str">
        <x:f>'Landscape'!V15</x:f>
        <x:v>Open code does not remove closed service and content dependencies.</x:v>
      </x:c>
      <x:c r="L6" s="3" t="str">
        <x:f>'Landscape'!Y15</x:f>
        <x:v>https://github.com/microsoft/Shiksha-Copilot</x:v>
      </x:c>
    </x:row>
    <x:row r="7" ht="38" customHeight="1">
      <x:c r="A7" s="3" t="str">
        <x:f>'Landscape'!A22</x:f>
        <x:v>P017</x:v>
      </x:c>
      <x:c r="B7" s="3" t="str">
        <x:f>'Landscape'!B22</x:f>
        <x:v>STEPS — STEM Teacher and Student Education for Primary Schools</x:v>
      </x:c>
      <x:c r="C7" s="3" t="str">
        <x:f>'Landscape'!F22</x:f>
        <x:v>Africa</x:v>
      </x:c>
      <x:c r="D7" s="3" t="str">
        <x:f>'Landscape'!D22</x:f>
        <x:v>AI-assisted OER localisation</x:v>
      </x:c>
      <x:c r="E7" s="3" t="str">
        <x:f>'Landscape'!H22</x:f>
        <x:v>Completed Dec 2023; some institutionalisation reported</x:v>
      </x:c>
      <x:c r="F7" s="3" t="str">
        <x:f>'Landscape'!L22</x:f>
        <x:v>No</x:v>
      </x:c>
      <x:c r="G7" s="3" t="str">
        <x:f>'Landscape'!M22</x:f>
        <x:v>No / unclear</x:v>
      </x:c>
      <x:c r="H7" s="3" t="str">
        <x:f>'Landscape'!N22</x:f>
        <x:v>Explicit OER model; verify item-level licences</x:v>
      </x:c>
      <x:c r="I7" s="3" t="str">
        <x:f>'Landscape'!Q22</x:f>
        <x:v>Structured implementation evaluation</x:v>
      </x:c>
      <x:c r="J7" s="3" t="str">
        <x:f>'Landscape'!W22</x:f>
        <x:v>Explicit AI–OER candidate</x:v>
      </x:c>
      <x:c r="K7" s="3" t="str">
        <x:f>'Landscape'!V22</x:f>
        <x:v>Reach and sustainability claims are implementer-reported.</x:v>
      </x:c>
      <x:c r="L7" s="3" t="str">
        <x:f>'Landscape'!Y22</x:f>
        <x:v>https://www.gpekix.org/project/science-technology-engineering-and-mathematics-stem-teacher-and-student-education-primary</x:v>
      </x:c>
    </x:row>
    <x:row r="8" ht="38" customHeight="1">
      <x:c r="A8" s="3" t="str">
        <x:f>'Landscape'!A27</x:f>
        <x:v>P022</x:v>
      </x:c>
      <x:c r="B8" s="3" t="str">
        <x:f>'Landscape'!B27</x:f>
        <x:v>Tutor CoPilot</x:v>
      </x:c>
      <x:c r="C8" s="3" t="str">
        <x:f>'Landscape'!F27</x:f>
        <x:v>North America</x:v>
      </x:c>
      <x:c r="D8" s="3" t="str">
        <x:f>'Landscape'!D27</x:f>
        <x:v>Human-tutor augmentation</x:v>
      </x:c>
      <x:c r="E8" s="3" t="str">
        <x:f>'Landscape'!H27</x:f>
        <x:v>Evaluated research intervention; demo code public</x:v>
      </x:c>
      <x:c r="F8" s="3" t="str">
        <x:f>'Landscape'!L27</x:f>
        <x:v>No</x:v>
      </x:c>
      <x:c r="G8" s="3" t="str">
        <x:f>'Landscape'!M27</x:f>
        <x:v>Partial / unresolved</x:v>
      </x:c>
      <x:c r="H8" s="3" t="str">
        <x:f>'Landscape'!N27</x:f>
        <x:v>Demo repository public; production stack/data not fully open</x:v>
      </x:c>
      <x:c r="I8" s="3" t="str">
        <x:f>'Landscape'!Q27</x:f>
        <x:v>Causal learner outcomes</x:v>
      </x:c>
      <x:c r="J8" s="3" t="str">
        <x:f>'Landscape'!W27</x:f>
        <x:v>Strong explicit-intersection candidate</x:v>
      </x:c>
      <x:c r="K8" s="3" t="str">
        <x:f>'Landscape'!V27</x:f>
        <x:v>One vendor/district context and topic mastery, not long-run attainment.</x:v>
      </x:c>
      <x:c r="L8" s="3" t="str">
        <x:f>'Landscape'!Y27</x:f>
        <x:v>https://edunlp.stanford.edu/projects/tutor-copilot</x:v>
      </x:c>
    </x:row>
    <x:row r="9" ht="38" customHeight="1">
      <x:c r="A9" s="3" t="str">
        <x:f>'Landscape'!A28</x:f>
        <x:v>P023</x:v>
      </x:c>
      <x:c r="B9" s="3" t="str">
        <x:f>'Landscape'!B28</x:f>
        <x:v>NSF Institute for Student–AI Teaming (iSAT)</x:v>
      </x:c>
      <x:c r="C9" s="3" t="str">
        <x:f>'Landscape'!F28</x:f>
        <x:v>North America</x:v>
      </x:c>
      <x:c r="D9" s="3" t="str">
        <x:f>'Landscape'!D28</x:f>
        <x:v>National research institute</x:v>
      </x:c>
      <x:c r="E9" s="3" t="str">
        <x:f>'Landscape'!H28</x:f>
        <x:v>Active; founded 2020, second phase</x:v>
      </x:c>
      <x:c r="F9" s="3" t="str">
        <x:f>'Landscape'!L28</x:f>
        <x:v>No</x:v>
      </x:c>
      <x:c r="G9" s="3" t="str">
        <x:f>'Landscape'!M28</x:f>
        <x:v>Partial / unresolved</x:v>
      </x:c>
      <x:c r="H9" s="3" t="str">
        <x:f>'Landscape'!N28</x:f>
        <x:v>Project says outputs are open-source; CC BY-NC also appears</x:v>
      </x:c>
      <x:c r="I9" s="3" t="str">
        <x:f>'Landscape'!Q28</x:f>
        <x:v>Peer-reviewed / technical evaluation</x:v>
      </x:c>
      <x:c r="J9" s="3" t="str">
        <x:f>'Landscape'!W28</x:f>
        <x:v>Major research ecosystem</x:v>
      </x:c>
      <x:c r="K9" s="3" t="str">
        <x:f>'Landscape'!V28</x:f>
        <x:v>Licensing language is internally inconsistent.</x:v>
      </x:c>
      <x:c r="L9" s="3" t="str">
        <x:f>'Landscape'!Y28</x:f>
        <x:v>https://www.colorado.edu/research/ai-institute/our-products</x:v>
      </x:c>
    </x:row>
    <x:row r="10" ht="38" customHeight="1">
      <x:c r="A10" s="3" t="str">
        <x:f>'Landscape'!A36</x:f>
        <x:v>P031</x:v>
      </x:c>
      <x:c r="B10" s="3" t="str">
        <x:f>'Landscape'!B36</x:f>
        <x:v>AI-ALOE — AI Institute for Adult Learning and Online Education</x:v>
      </x:c>
      <x:c r="C10" s="3" t="str">
        <x:f>'Landscape'!F36</x:f>
        <x:v>North America</x:v>
      </x:c>
      <x:c r="D10" s="3" t="str">
        <x:f>'Landscape'!D36</x:f>
        <x:v>National research institute</x:v>
      </x:c>
      <x:c r="E10" s="3" t="str">
        <x:f>'Landscape'!H36</x:f>
        <x:v>Active</x:v>
      </x:c>
      <x:c r="F10" s="3" t="str">
        <x:f>'Landscape'!L36</x:f>
        <x:v>Uses/researches open education standards</x:v>
      </x:c>
      <x:c r="G10" s="3" t="str">
        <x:f>'Landscape'!M36</x:f>
        <x:v>Partial / unresolved</x:v>
      </x:c>
      <x:c r="H10" s="3" t="str">
        <x:f>'Landscape'!N36</x:f>
        <x:v>Research outputs and repositories vary</x:v>
      </x:c>
      <x:c r="I10" s="3" t="str">
        <x:f>'Landscape'!Q36</x:f>
        <x:v>Peer-reviewed / technical evaluation</x:v>
      </x:c>
      <x:c r="J10" s="3" t="str">
        <x:f>'Landscape'!W36</x:f>
        <x:v>High-priority standards-aware research</x:v>
      </x:c>
      <x:c r="K10" s="3" t="str">
        <x:f>'Landscape'!V36</x:f>
        <x:v>Standards alignment and openness vary across work packages.</x:v>
      </x:c>
      <x:c r="L10" s="3" t="str">
        <x:f>'Landscape'!Y36</x:f>
        <x:v>https://aialoe.org/</x:v>
      </x:c>
    </x:row>
    <x:row r="11" ht="38" customHeight="1">
      <x:c r="A11" s="3" t="str">
        <x:f>'Landscape'!A37</x:f>
        <x:v>P032</x:v>
      </x:c>
      <x:c r="B11" s="3" t="str">
        <x:f>'Landscape'!B37</x:f>
        <x:v>INVITE — Inclusive and Intelligent Technologies for Education</x:v>
      </x:c>
      <x:c r="C11" s="3" t="str">
        <x:f>'Landscape'!F37</x:f>
        <x:v>North America</x:v>
      </x:c>
      <x:c r="D11" s="3" t="str">
        <x:f>'Landscape'!D37</x:f>
        <x:v>National research institute</x:v>
      </x:c>
      <x:c r="E11" s="3" t="str">
        <x:f>'Landscape'!H37</x:f>
        <x:v>Active</x:v>
      </x:c>
      <x:c r="F11" s="3" t="str">
        <x:f>'Landscape'!L37</x:f>
        <x:v>No</x:v>
      </x:c>
      <x:c r="G11" s="3" t="str">
        <x:f>'Landscape'!M37</x:f>
        <x:v>Partial / unresolved</x:v>
      </x:c>
      <x:c r="H11" s="3" t="str">
        <x:f>'Landscape'!N37</x:f>
        <x:v>Project-dependent</x:v>
      </x:c>
      <x:c r="I11" s="3" t="str">
        <x:f>'Landscape'!Q37</x:f>
        <x:v>Peer-reviewed / technical evaluation</x:v>
      </x:c>
      <x:c r="J11" s="3" t="str">
        <x:f>'Landscape'!W37</x:f>
        <x:v>Major public research ecosystem</x:v>
      </x:c>
      <x:c r="K11" s="3" t="str">
        <x:f>'Landscape'!V37</x:f>
        <x:v>Institute-level visibility can obscure uneven subproject maturity.</x:v>
      </x:c>
      <x:c r="L11" s="3" t="str">
        <x:f>'Landscape'!Y37</x:f>
        <x:v>https://ies.ed.gov/use-work/awards/invite-inclusive-and-innovative-intelligent-technologies-education</x:v>
      </x:c>
    </x:row>
    <x:row r="12" ht="38" customHeight="1">
      <x:c r="A12" s="3" t="str">
        <x:f>'Landscape'!A41</x:f>
        <x:v>P036</x:v>
      </x:c>
      <x:c r="B12" s="3" t="str">
        <x:f>'Landscape'!B41</x:f>
        <x:v>Oak Open Curriculum Ecosystem</x:v>
      </x:c>
      <x:c r="C12" s="3" t="str">
        <x:f>'Landscape'!F41</x:f>
        <x:v>Europe</x:v>
      </x:c>
      <x:c r="D12" s="3" t="str">
        <x:f>'Landscape'!D41</x:f>
        <x:v>AI-ready curriculum infrastructure</x:v>
      </x:c>
      <x:c r="E12" s="3" t="str">
        <x:f>'Landscape'!H41</x:f>
        <x:v>Active open infrastructure; repository from 2025</x:v>
      </x:c>
      <x:c r="F12" s="3" t="str">
        <x:f>'Landscape'!L41</x:f>
        <x:v>Yes</x:v>
      </x:c>
      <x:c r="G12" s="3" t="str">
        <x:f>'Landscape'!M41</x:f>
        <x:v>Yes</x:v>
      </x:c>
      <x:c r="H12" s="3" t="str">
        <x:f>'Landscape'!N41</x:f>
        <x:v>Open curriculum data/content</x:v>
      </x:c>
      <x:c r="I12" s="3" t="str">
        <x:f>'Landscape'!Q41</x:f>
        <x:v>Technical / retrieval evaluation</x:v>
      </x:c>
      <x:c r="J12" s="3" t="str">
        <x:f>'Landscape'!W41</x:f>
        <x:v>Strong explicit-intersection candidate</x:v>
      </x:c>
      <x:c r="K12" s="3" t="str">
        <x:f>'Landscape'!V41</x:f>
        <x:v>Open APIs and good retrieval do not establish instructional effectiveness.</x:v>
      </x:c>
      <x:c r="L12" s="3" t="str">
        <x:f>'Landscape'!Y41</x:f>
        <x:v>https://github.com/oaknational/oak-open-curriculum-ecosystem</x:v>
      </x:c>
    </x:row>
    <x:row r="13" ht="38" customHeight="1">
      <x:c r="A13" s="3" t="str">
        <x:f>'Landscape'!A42</x:f>
        <x:v>P037</x:v>
      </x:c>
      <x:c r="B13" s="3" t="str">
        <x:f>'Landscape'!B42</x:f>
        <x:v>Aila — Oak’s AI Lesson Assistant</x:v>
      </x:c>
      <x:c r="C13" s="3" t="str">
        <x:f>'Landscape'!F42</x:f>
        <x:v>Europe</x:v>
      </x:c>
      <x:c r="D13" s="3" t="str">
        <x:f>'Landscape'!D42</x:f>
        <x:v>Teacher lesson-planning assistant</x:v>
      </x:c>
      <x:c r="E13" s="3" t="str">
        <x:f>'Landscape'!H42</x:f>
        <x:v>Public beta/production from 2024</x:v>
      </x:c>
      <x:c r="F13" s="3" t="str">
        <x:f>'Landscape'!L42</x:f>
        <x:v>Partial</x:v>
      </x:c>
      <x:c r="G13" s="3" t="str">
        <x:f>'Landscape'!M42</x:f>
        <x:v>Yes</x:v>
      </x:c>
      <x:c r="H13" s="3" t="str">
        <x:f>'Landscape'!N42</x:f>
        <x:v>Oak curriculum content open; generated-resource terms should be checked</x:v>
      </x:c>
      <x:c r="I13" s="3" t="str">
        <x:f>'Landscape'!Q42</x:f>
        <x:v>Structured implementation evaluation</x:v>
      </x:c>
      <x:c r="J13" s="3" t="str">
        <x:f>'Landscape'!W42</x:f>
        <x:v>Strong explicit-intersection candidate</x:v>
      </x:c>
      <x:c r="K13" s="3" t="str">
        <x:f>'Landscape'!V42</x:f>
        <x:v>Open code/content coexist with a proprietary hosted model dependency.</x:v>
      </x:c>
      <x:c r="L13" s="3" t="str">
        <x:f>'Landscape'!Y42</x:f>
        <x:v>https://www.gov.uk/algorithmic-transparency-records/oak-national-academy-aila-oaks-ai-lesson-assistant</x:v>
      </x:c>
    </x:row>
    <x:row r="14" ht="38" customHeight="1">
      <x:c r="A14" s="3" t="str">
        <x:f>'Landscape'!A43</x:f>
        <x:v>P038</x:v>
      </x:c>
      <x:c r="B14" s="3" t="str">
        <x:f>'Landscape'!B43</x:f>
        <x:v>Learning Commons — Knowledge Graph, Evaluators and Agent Skills</x:v>
      </x:c>
      <x:c r="C14" s="3" t="str">
        <x:f>'Landscape'!F43</x:f>
        <x:v>North America</x:v>
      </x:c>
      <x:c r="D14" s="3" t="str">
        <x:f>'Landscape'!D43</x:f>
        <x:v>AI-ready curriculum and evaluation infrastructure</x:v>
      </x:c>
      <x:c r="E14" s="3" t="str">
        <x:f>'Landscape'!H43</x:f>
        <x:v>Beta / early production; public releases from 2025</x:v>
      </x:c>
      <x:c r="F14" s="3" t="str">
        <x:f>'Landscape'!L43</x:f>
        <x:v>Yes / uses CASE</x:v>
      </x:c>
      <x:c r="G14" s="3" t="str">
        <x:f>'Landscape'!M43</x:f>
        <x:v>Yes</x:v>
      </x:c>
      <x:c r="H14" s="3" t="str">
        <x:f>'Landscape'!N43</x:f>
        <x:v>Yes — most data CC BY 4.0; progressions CC0</x:v>
      </x:c>
      <x:c r="I14" s="3" t="str">
        <x:f>'Landscape'!Q43</x:f>
        <x:v>Peer-reviewed / expert-grounded technical evaluation</x:v>
      </x:c>
      <x:c r="J14" s="3" t="str">
        <x:f>'Landscape'!W43</x:f>
        <x:v>Top-tier explicit-intersection candidate</x:v>
      </x:c>
      <x:c r="K14" s="3" t="str">
        <x:f>'Landscape'!V43</x:f>
        <x:v>Early release and semantic-mapping quality need external validation.</x:v>
      </x:c>
      <x:c r="L14" s="3" t="str">
        <x:f>'Landscape'!Y43</x:f>
        <x:v>https://docs.learningcommons.org/</x:v>
      </x:c>
    </x:row>
    <x:row r="15" ht="38" customHeight="1">
      <x:c r="A15" s="3" t="str">
        <x:f>'Landscape'!A44</x:f>
        <x:v>P039</x:v>
      </x:c>
      <x:c r="B15" s="3" t="str">
        <x:f>'Landscape'!B44</x:f>
        <x:v>Credential Engine CTDL + CTDL xTRA</x:v>
      </x:c>
      <x:c r="C15" s="3" t="str">
        <x:f>'Landscape'!F44</x:f>
        <x:v>North America</x:v>
      </x:c>
      <x:c r="D15" s="3" t="str">
        <x:f>'Landscape'!D44</x:f>
        <x:v>Open credential/skills data and AI extraction</x:v>
      </x:c>
      <x:c r="E15" s="3" t="str">
        <x:f>'Landscape'!H44</x:f>
        <x:v>Active production infrastructure</x:v>
      </x:c>
      <x:c r="F15" s="3" t="str">
        <x:f>'Landscape'!L44</x:f>
        <x:v>Yes</x:v>
      </x:c>
      <x:c r="G15" s="3" t="str">
        <x:f>'Landscape'!M44</x:f>
        <x:v>Yes</x:v>
      </x:c>
      <x:c r="H15" s="3" t="str">
        <x:f>'Landscape'!N44</x:f>
        <x:v>Linked open registry data</x:v>
      </x:c>
      <x:c r="I15" s="3" t="str">
        <x:f>'Landscape'!Q44</x:f>
        <x:v>Technical / adoption evidence</x:v>
      </x:c>
      <x:c r="J15" s="3" t="str">
        <x:f>'Landscape'!W44</x:f>
        <x:v>Top-tier explicit-intersection candidate</x:v>
      </x:c>
      <x:c r="K15" s="3" t="str">
        <x:f>'Landscape'!V44</x:f>
        <x:v>Registry descriptions are provider-published metadata, not verified learner awards.</x:v>
      </x:c>
      <x:c r="L15" s="3" t="str">
        <x:f>'Landscape'!Y44</x:f>
        <x:v>https://credentialengine.org/credentialtransparency-ai/</x:v>
      </x:c>
    </x:row>
    <x:row r="16" ht="38" customHeight="1">
      <x:c r="A16" s="3" t="str">
        <x:f>'Landscape'!A45</x:f>
        <x:v>P040</x:v>
      </x:c>
      <x:c r="B16" s="3" t="str">
        <x:f>'Landscape'!B45</x:f>
        <x:v>OATutor / OATutor-Content</x:v>
      </x:c>
      <x:c r="C16" s="3" t="str">
        <x:f>'Landscape'!F45</x:f>
        <x:v>North America</x:v>
      </x:c>
      <x:c r="D16" s="3" t="str">
        <x:f>'Landscape'!D45</x:f>
        <x:v>Open adaptive tutoring platform</x:v>
      </x:c>
      <x:c r="E16" s="3" t="str">
        <x:f>'Landscape'!H45</x:f>
        <x:v>Active research platform</x:v>
      </x:c>
      <x:c r="F16" s="3" t="str">
        <x:f>'Landscape'!L45</x:f>
        <x:v>Uses LTI</x:v>
      </x:c>
      <x:c r="G16" s="3" t="str">
        <x:f>'Landscape'!M45</x:f>
        <x:v>Yes</x:v>
      </x:c>
      <x:c r="H16" s="3" t="str">
        <x:f>'Landscape'!N45</x:f>
        <x:v>Yes — Creative Commons problem library</x:v>
      </x:c>
      <x:c r="I16" s="3" t="str">
        <x:f>'Landscape'!Q45</x:f>
        <x:v>Controlled / peer-reviewed learner study</x:v>
      </x:c>
      <x:c r="J16" s="3" t="str">
        <x:f>'Landscape'!W45</x:f>
        <x:v>Top-tier explicit-intersection candidate</x:v>
      </x:c>
      <x:c r="K16" s="3" t="str">
        <x:f>'Landscape'!V45</x:f>
        <x:v>Bounded studies do not establish large-scale classroom effectiveness.</x:v>
      </x:c>
      <x:c r="L16" s="3" t="str">
        <x:f>'Landscape'!Y45</x:f>
        <x:v>https://github.com/CAHLR/OATutor</x:v>
      </x:c>
    </x:row>
    <x:row r="17" ht="38" customHeight="1">
      <x:c r="A17" s="3" t="str">
        <x:f>'Landscape'!A46</x:f>
        <x:v>P041</x:v>
      </x:c>
      <x:c r="B17" s="3" t="str">
        <x:f>'Landscape'!B46</x:f>
        <x:v>TutorChat / LM-Science-Tutor</x:v>
      </x:c>
      <x:c r="C17" s="3" t="str">
        <x:f>'Landscape'!F46</x:f>
        <x:v>North America</x:v>
      </x:c>
      <x:c r="D17" s="3" t="str">
        <x:f>'Landscape'!D46</x:f>
        <x:v>Open tutoring dataset, models and benchmark</x:v>
      </x:c>
      <x:c r="E17" s="3" t="str">
        <x:f>'Landscape'!H46</x:f>
        <x:v>Research artifact released 2024</x:v>
      </x:c>
      <x:c r="F17" s="3" t="str">
        <x:f>'Landscape'!L46</x:f>
        <x:v>No</x:v>
      </x:c>
      <x:c r="G17" s="3" t="str">
        <x:f>'Landscape'!M46</x:f>
        <x:v>Partial / unresolved</x:v>
      </x:c>
      <x:c r="H17" s="3" t="str">
        <x:f>'Landscape'!N46</x:f>
        <x:v>Data/models downloadable; provenance and licence mixed</x:v>
      </x:c>
      <x:c r="I17" s="3" t="str">
        <x:f>'Landscape'!Q46</x:f>
        <x:v>Technical benchmark</x:v>
      </x:c>
      <x:c r="J17" s="3" t="str">
        <x:f>'Landscape'!W46</x:f>
        <x:v>Research watch — licence diligence</x:v>
      </x:c>
      <x:c r="K17" s="3" t="str">
        <x:f>'Landscape'!V46</x:f>
        <x:v>Public availability is not a reusable open licence.</x:v>
      </x:c>
      <x:c r="L17" s="3" t="str">
        <x:f>'Landscape'!Y46</x:f>
        <x:v>https://github.com/princeton-nlp/LM-Science-Tutor</x:v>
      </x:c>
    </x:row>
    <x:row r="18" ht="38" customHeight="1">
      <x:c r="A18" s="3" t="str">
        <x:f>'Landscape'!A47</x:f>
        <x:v>P042</x:v>
      </x:c>
      <x:c r="B18" s="3" t="str">
        <x:f>'Landscape'!B47</x:f>
        <x:v>MathTutorBench</x:v>
      </x:c>
      <x:c r="C18" s="3" t="str">
        <x:f>'Landscape'!F47</x:f>
        <x:v>Europe</x:v>
      </x:c>
      <x:c r="D18" s="3" t="str">
        <x:f>'Landscape'!D47</x:f>
        <x:v>Open AI-tutor benchmark</x:v>
      </x:c>
      <x:c r="E18" s="3" t="str">
        <x:f>'Landscape'!H47</x:f>
        <x:v>Released at EMNLP 2025; active repository</x:v>
      </x:c>
      <x:c r="F18" s="3" t="str">
        <x:f>'Landscape'!L47</x:f>
        <x:v>No</x:v>
      </x:c>
      <x:c r="G18" s="3" t="str">
        <x:f>'Landscape'!M47</x:f>
        <x:v>Yes</x:v>
      </x:c>
      <x:c r="H18" s="3" t="str">
        <x:f>'Landscape'!N47</x:f>
        <x:v>Code, task data and configurations public</x:v>
      </x:c>
      <x:c r="I18" s="3" t="str">
        <x:f>'Landscape'!Q47</x:f>
        <x:v>Peer-reviewed technical benchmark</x:v>
      </x:c>
      <x:c r="J18" s="3" t="str">
        <x:f>'Landscape'!W47</x:f>
        <x:v>Strong open evaluation candidate</x:v>
      </x:c>
      <x:c r="K18" s="3" t="str">
        <x:f>'Landscape'!V47</x:f>
        <x:v>Benchmark success may not predict live tutoring outcomes.</x:v>
      </x:c>
      <x:c r="L18" s="3" t="str">
        <x:f>'Landscape'!Y47</x:f>
        <x:v>https://github.com/eth-lre/mathtutorbench</x:v>
      </x:c>
    </x:row>
    <x:row r="19" ht="38" customHeight="1">
      <x:c r="A19" s="3" t="str">
        <x:f>'Landscape'!A48</x:f>
        <x:v>P043</x:v>
      </x:c>
      <x:c r="B19" s="3" t="str">
        <x:f>'Landscape'!B48</x:f>
        <x:v>TutorMoments-Preview</x:v>
      </x:c>
      <x:c r="C19" s="3" t="str">
        <x:f>'Landscape'!F48</x:f>
        <x:v>North America</x:v>
      </x:c>
      <x:c r="D19" s="3" t="str">
        <x:f>'Landscape'!D48</x:f>
        <x:v>Open naturalistic tutoring benchmark</x:v>
      </x:c>
      <x:c r="E19" s="3" t="str">
        <x:f>'Landscape'!H48</x:f>
        <x:v>Preview released 2026</x:v>
      </x:c>
      <x:c r="F19" s="3" t="str">
        <x:f>'Landscape'!L48</x:f>
        <x:v>No</x:v>
      </x:c>
      <x:c r="G19" s="3" t="str">
        <x:f>'Landscape'!M48</x:f>
        <x:v>Yes</x:v>
      </x:c>
      <x:c r="H19" s="3" t="str">
        <x:f>'Landscape'!N48</x:f>
        <x:v>Versioned dataset and configurations</x:v>
      </x:c>
      <x:c r="I19" s="3" t="str">
        <x:f>'Landscape'!Q48</x:f>
        <x:v>Expert-grounded technical benchmark</x:v>
      </x:c>
      <x:c r="J19" s="3" t="str">
        <x:f>'Landscape'!W48</x:f>
        <x:v>Strong open evaluation candidate</x:v>
      </x:c>
      <x:c r="K19" s="3" t="str">
        <x:f>'Landscape'!V48</x:f>
        <x:v>A preview dataset with limited coverage and no intervention outcomes.</x:v>
      </x:c>
      <x:c r="L19" s="3" t="str">
        <x:f>'Landscape'!Y48</x:f>
        <x:v>https://tutormoments.allen.ai/</x:v>
      </x:c>
    </x:row>
    <x:row r="20" ht="38" customHeight="1">
      <x:c r="A20" s="3" t="str">
        <x:f>'Landscape'!A49</x:f>
        <x:v>P044</x:v>
      </x:c>
      <x:c r="B20" s="3" t="str">
        <x:f>'Landscape'!B49</x:f>
        <x:v>Open TutorAI Community Edition</x:v>
      </x:c>
      <x:c r="C20" s="3" t="str">
        <x:f>'Landscape'!F49</x:f>
        <x:v>MENA</x:v>
      </x:c>
      <x:c r="D20" s="3" t="str">
        <x:f>'Landscape'!D49</x:f>
        <x:v>Open generative tutoring platform</x:v>
      </x:c>
      <x:c r="E20" s="3" t="str">
        <x:f>'Landscape'!H49</x:f>
        <x:v>Experimental community edition; active 2024–26</x:v>
      </x:c>
      <x:c r="F20" s="3" t="str">
        <x:f>'Landscape'!L49</x:f>
        <x:v>No</x:v>
      </x:c>
      <x:c r="G20" s="3" t="str">
        <x:f>'Landscape'!M49</x:f>
        <x:v>Yes</x:v>
      </x:c>
      <x:c r="H20" s="3" t="str">
        <x:f>'Landscape'!N49</x:f>
        <x:v>Course materials supplied by deployer; no shared curriculum corpus</x:v>
      </x:c>
      <x:c r="I20" s="3" t="str">
        <x:f>'Landscape'!Q49</x:f>
        <x:v>Architecture / early user evidence</x:v>
      </x:c>
      <x:c r="J20" s="3" t="str">
        <x:f>'Landscape'!W49</x:f>
        <x:v>Emerging open product</x:v>
      </x:c>
      <x:c r="K20" s="3" t="str">
        <x:f>'Landscape'!V49</x:f>
        <x:v>Open shell does not guarantee open models, content or low-risk operation.</x:v>
      </x:c>
      <x:c r="L20" s="3" t="str">
        <x:f>'Landscape'!Y49</x:f>
        <x:v>https://github.com/Open-TutorAi/open-tutor-ai-CE</x:v>
      </x:c>
    </x:row>
    <x:row r="21" ht="38" customHeight="1">
      <x:c r="A21" s="3" t="str">
        <x:f>'Landscape'!A50</x:f>
        <x:v>P045</x:v>
      </x:c>
      <x:c r="B21" s="3" t="str">
        <x:f>'Landscape'!B50</x:f>
        <x:v>X5GON</x:v>
      </x:c>
      <x:c r="C21" s="3" t="str">
        <x:f>'Landscape'!F50</x:f>
        <x:v>Europe</x:v>
      </x:c>
      <x:c r="D21" s="3" t="str">
        <x:f>'Landscape'!D50</x:f>
        <x:v>AI-powered OER discovery infrastructure</x:v>
      </x:c>
      <x:c r="E21" s="3" t="str">
        <x:f>'Landscape'!H50</x:f>
        <x:v>Completed 2017–20; uneven maintenance</x:v>
      </x:c>
      <x:c r="F21" s="3" t="str">
        <x:f>'Landscape'!L50</x:f>
        <x:v>Partial</x:v>
      </x:c>
      <x:c r="G21" s="3" t="str">
        <x:f>'Landscape'!M50</x:f>
        <x:v>Partial / unresolved</x:v>
      </x:c>
      <x:c r="H21" s="3" t="str">
        <x:f>'Landscape'!N50</x:f>
        <x:v>OER-derived and public repositories; licences vary</x:v>
      </x:c>
      <x:c r="I21" s="3" t="str">
        <x:f>'Landscape'!Q50</x:f>
        <x:v>Peer-reviewed / technical evaluation</x:v>
      </x:c>
      <x:c r="J21" s="3" t="str">
        <x:f>'Landscape'!W50</x:f>
        <x:v>Foundational explicit-intersection precedent</x:v>
      </x:c>
      <x:c r="K21" s="3" t="str">
        <x:f>'Landscape'!V50</x:f>
        <x:v>Completed project with unclear service sustainability.</x:v>
      </x:c>
      <x:c r="L21" s="3" t="str">
        <x:f>'Landscape'!Y50</x:f>
        <x:v>https://cordis.europa.eu/project/id/761758</x:v>
      </x:c>
    </x:row>
    <x:row r="22" ht="38" customHeight="1">
      <x:c r="A22" s="3" t="str">
        <x:f>'Landscape'!A51</x:f>
        <x:v>P046</x:v>
      </x:c>
      <x:c r="B22" s="3" t="str">
        <x:f>'Landscape'!B51</x:f>
        <x:v>OpenEduHub / WirLernenOnline / ITs.JOINTLY</x:v>
      </x:c>
      <x:c r="C22" s="3" t="str">
        <x:f>'Landscape'!F51</x:f>
        <x:v>Europe</x:v>
      </x:c>
      <x:c r="D22" s="3" t="str">
        <x:f>'Landscape'!D51</x:f>
        <x:v>OER aggregation and AI metadata</x:v>
      </x:c>
      <x:c r="E22" s="3" t="str">
        <x:f>'Landscape'!H51</x:f>
        <x:v>Operational ecosystem; AI metadata work since 2020</x:v>
      </x:c>
      <x:c r="F22" s="3" t="str">
        <x:f>'Landscape'!L51</x:f>
        <x:v>Partial</x:v>
      </x:c>
      <x:c r="G22" s="3" t="str">
        <x:f>'Landscape'!M51</x:f>
        <x:v>Yes</x:v>
      </x:c>
      <x:c r="H22" s="3" t="str">
        <x:f>'Landscape'!N51</x:f>
        <x:v>Large OER metadata/resource aggregation</x:v>
      </x:c>
      <x:c r="I22" s="3" t="str">
        <x:f>'Landscape'!Q51</x:f>
        <x:v>Technical / adoption evidence</x:v>
      </x:c>
      <x:c r="J22" s="3" t="str">
        <x:f>'Landscape'!W51</x:f>
        <x:v>Strong OER–AI infrastructure candidate</x:v>
      </x:c>
      <x:c r="K22" s="3" t="str">
        <x:f>'Landscape'!V51</x:f>
        <x:v>Aggregate counts and licence consistency need independent audit.</x:v>
      </x:c>
      <x:c r="L22" s="3" t="str">
        <x:f>'Landscape'!Y51</x:f>
        <x:v>https://edu-sharing-network.org/</x:v>
      </x:c>
    </x:row>
    <x:row r="23" ht="38" customHeight="1">
      <x:c r="A23" s="3" t="str">
        <x:f>'Landscape'!A52</x:f>
        <x:v>P047</x:v>
      </x:c>
      <x:c r="B23" s="3" t="str">
        <x:f>'Landscape'!B52</x:f>
        <x:v>K–12 AI Infrastructure Program</x:v>
      </x:c>
      <x:c r="C23" s="3" t="str">
        <x:f>'Landscape'!F52</x:f>
        <x:v>North America</x:v>
      </x:c>
      <x:c r="D23" s="3" t="str">
        <x:f>'Landscape'!D52</x:f>
        <x:v>Open data, model and benchmark grant portfolio</x:v>
      </x:c>
      <x:c r="E23" s="3" t="str">
        <x:f>'Landscape'!H52</x:f>
        <x:v>Active grant portfolio announced 2025–26</x:v>
      </x:c>
      <x:c r="F23" s="3" t="str">
        <x:f>'Landscape'!L52</x:f>
        <x:v>Planned / project-specific</x:v>
      </x:c>
      <x:c r="G23" s="3" t="str">
        <x:f>'Landscape'!M52</x:f>
        <x:v>No / unclear</x:v>
      </x:c>
      <x:c r="H23" s="3" t="str">
        <x:f>'Landscape'!N52</x:f>
        <x:v>Planned open datasets/benchmarks</x:v>
      </x:c>
      <x:c r="I23" s="3" t="str">
        <x:f>'Landscape'!Q52</x:f>
        <x:v>Pre-output / no evaluation</x:v>
      </x:c>
      <x:c r="J23" s="3" t="str">
        <x:f>'Landscape'!W52</x:f>
        <x:v>High-priority emerging ecosystem</x:v>
      </x:c>
      <x:c r="K23" s="3" t="str">
        <x:f>'Landscape'!V52</x:f>
        <x:v>Treat as an investment signal, not delivered infrastructure.</x:v>
      </x:c>
      <x:c r="L23" s="3" t="str">
        <x:f>'Landscape'!Y52</x:f>
        <x:v>https://k12-ai-infrastructure.org/</x:v>
      </x:c>
    </x:row>
    <x:row r="24" ht="38" customHeight="1">
      <x:c r="A24" s="3" t="str">
        <x:f>'Landscape'!A53</x:f>
        <x:v>P048</x:v>
      </x:c>
      <x:c r="B24" s="3" t="str">
        <x:f>'Landscape'!B53</x:f>
        <x:v>EDU AI — Open Source AI Model for Tutoring RFP</x:v>
      </x:c>
      <x:c r="C24" s="3" t="str">
        <x:f>'Landscape'!F53</x:f>
        <x:v>North America</x:v>
      </x:c>
      <x:c r="D24" s="3" t="str">
        <x:f>'Landscape'!D53</x:f>
        <x:v>Open education-model procurement</x:v>
      </x:c>
      <x:c r="E24" s="3" t="str">
        <x:f>'Landscape'!H53</x:f>
        <x:v>RFP closed July 2026; award anticipated late 2026</x:v>
      </x:c>
      <x:c r="F24" s="3" t="str">
        <x:f>'Landscape'!L53</x:f>
        <x:v>Planned</x:v>
      </x:c>
      <x:c r="G24" s="3" t="str">
        <x:f>'Landscape'!M53</x:f>
        <x:v>No / unclear</x:v>
      </x:c>
      <x:c r="H24" s="3" t="str">
        <x:f>'Landscape'!N53</x:f>
        <x:v>Required reusable data/content and evaluation assets</x:v>
      </x:c>
      <x:c r="I24" s="3" t="str">
        <x:f>'Landscape'!Q53</x:f>
        <x:v>Pre-award / no output</x:v>
      </x:c>
      <x:c r="J24" s="3" t="str">
        <x:f>'Landscape'!W53</x:f>
        <x:v>Watch closely</x:v>
      </x:c>
      <x:c r="K24" s="3" t="str">
        <x:f>'Landscape'!V53</x:f>
        <x:v>A procurement promise, not a project result.</x:v>
      </x:c>
      <x:c r="L24" s="3" t="str">
        <x:f>'Landscape'!Y53</x:f>
        <x:v>https://k12-ai-infrastructure.org/edu-ai-rfp/</x:v>
      </x:c>
    </x:row>
    <x:row r="25" ht="38" customHeight="1">
      <x:c r="A25" s="3" t="str">
        <x:f>'Landscape'!A54</x:f>
        <x:v>P049</x:v>
      </x:c>
      <x:c r="B25" s="3" t="str">
        <x:f>'Landscape'!B54</x:f>
        <x:v>National Tutoring Observatory / Million Tutor Moves</x:v>
      </x:c>
      <x:c r="C25" s="3" t="str">
        <x:f>'Landscape'!F54</x:f>
        <x:v>North America</x:v>
      </x:c>
      <x:c r="D25" s="3" t="str">
        <x:f>'Landscape'!D54</x:f>
        <x:v>Tutoring data and research infrastructure</x:v>
      </x:c>
      <x:c r="E25" s="3" t="str">
        <x:f>'Landscape'!H54</x:f>
        <x:v>Infrastructure in development</x:v>
      </x:c>
      <x:c r="F25" s="3" t="str">
        <x:f>'Landscape'!L54</x:f>
        <x:v>Partial schemas/tooling</x:v>
      </x:c>
      <x:c r="G25" s="3" t="str">
        <x:f>'Landscape'!M54</x:f>
        <x:v>Partial / unresolved</x:v>
      </x:c>
      <x:c r="H25" s="3" t="str">
        <x:f>'Landscape'!N54</x:f>
        <x:v>Access to child transcripts/video will necessarily be controlled</x:v>
      </x:c>
      <x:c r="I25" s="3" t="str">
        <x:f>'Landscape'!Q54</x:f>
        <x:v>Technical / early implementation</x:v>
      </x:c>
      <x:c r="J25" s="3" t="str">
        <x:f>'Landscape'!W54</x:f>
        <x:v>High-priority data-governance case</x:v>
      </x:c>
      <x:c r="K25" s="3" t="str">
        <x:f>'Landscape'!V54</x:f>
        <x:v>‘Open’ should mean reproducible/controlled, not unrestricted raw child data.</x:v>
      </x:c>
      <x:c r="L25" s="3" t="str">
        <x:f>'Landscape'!Y54</x:f>
        <x:v>https://nationaltutoringobservatory.org/</x:v>
      </x:c>
    </x:row>
    <x:row r="26" ht="38" customHeight="1">
      <x:c r="A26" s="3" t="str">
        <x:f>'Landscape'!A55</x:f>
        <x:v>P050</x:v>
      </x:c>
      <x:c r="B26" s="3" t="str">
        <x:f>'Landscape'!B55</x:f>
        <x:v>DrawEduMath</x:v>
      </x:c>
      <x:c r="C26" s="3" t="str">
        <x:f>'Landscape'!F55</x:f>
        <x:v>North America</x:v>
      </x:c>
      <x:c r="D26" s="3" t="str">
        <x:f>'Landscape'!D55</x:f>
        <x:v>Open multimodal benchmark</x:v>
      </x:c>
      <x:c r="E26" s="3" t="str">
        <x:f>'Landscape'!H55</x:f>
        <x:v>Released 2025</x:v>
      </x:c>
      <x:c r="F26" s="3" t="str">
        <x:f>'Landscape'!L55</x:f>
        <x:v>No</x:v>
      </x:c>
      <x:c r="G26" s="3" t="str">
        <x:f>'Landscape'!M55</x:f>
        <x:v>Partial / unresolved</x:v>
      </x:c>
      <x:c r="H26" s="3" t="str">
        <x:f>'Landscape'!N55</x:f>
        <x:v>Project states CC BY-SA 4.0; coverage of underlying images needs confirmation</x:v>
      </x:c>
      <x:c r="I26" s="3" t="str">
        <x:f>'Landscape'!Q55</x:f>
        <x:v>Peer-reviewed technical benchmark</x:v>
      </x:c>
      <x:c r="J26" s="3" t="str">
        <x:f>'Landscape'!W55</x:f>
        <x:v>Strong open benchmark</x:v>
      </x:c>
      <x:c r="K26" s="3" t="str">
        <x:f>'Landscape'!V55</x:f>
        <x:v>Site licensing may not automatically cover every source image.</x:v>
      </x:c>
      <x:c r="L26" s="3" t="str">
        <x:f>'Landscape'!Y55</x:f>
        <x:v>https://drawedumath.org/</x:v>
      </x:c>
    </x:row>
    <x:row r="27" ht="38" customHeight="1">
      <x:c r="A27" s="3" t="str">
        <x:f>'Landscape'!A56</x:f>
        <x:v>P051</x:v>
      </x:c>
      <x:c r="B27" s="3" t="str">
        <x:f>'Landscape'!B56</x:f>
        <x:v>BHASHINI / ULCA</x:v>
      </x:c>
      <x:c r="C27" s="3" t="str">
        <x:f>'Landscape'!F56</x:f>
        <x:v>Asia</x:v>
      </x:c>
      <x:c r="D27" s="3" t="str">
        <x:f>'Landscape'!D56</x:f>
        <x:v>Public language-AI infrastructure</x:v>
      </x:c>
      <x:c r="E27" s="3" t="str">
        <x:f>'Landscape'!H56</x:f>
        <x:v>Active national mission from 2022</x:v>
      </x:c>
      <x:c r="F27" s="3" t="str">
        <x:f>'Landscape'!L56</x:f>
        <x:v>Yes / public APIs</x:v>
      </x:c>
      <x:c r="G27" s="3" t="str">
        <x:f>'Landscape'!M56</x:f>
        <x:v>Yes</x:v>
      </x:c>
      <x:c r="H27" s="3" t="str">
        <x:f>'Landscape'!N56</x:f>
        <x:v>Datasets/models have heterogeneous terms</x:v>
      </x:c>
      <x:c r="I27" s="3" t="str">
        <x:f>'Landscape'!Q56</x:f>
        <x:v>Technical / adoption evidence</x:v>
      </x:c>
      <x:c r="J27" s="3" t="str">
        <x:f>'Landscape'!W56</x:f>
        <x:v>Strong multilingual DPI candidate</x:v>
      </x:c>
      <x:c r="K27" s="3" t="str">
        <x:f>'Landscape'!V56</x:f>
        <x:v>Open tooling does not make every model or dataset open.</x:v>
      </x:c>
      <x:c r="L27" s="3" t="str">
        <x:f>'Landscape'!Y56</x:f>
        <x:v>https://www.pib.gov.in/PressReleasePage.aspx?PRID=2039811</x:v>
      </x:c>
    </x:row>
    <x:row r="28" ht="38" customHeight="1">
      <x:c r="A28" s="3" t="str">
        <x:f>'Landscape'!A57</x:f>
        <x:v>P052</x:v>
      </x:c>
      <x:c r="B28" s="3" t="str">
        <x:f>'Landscape'!B57</x:f>
        <x:v>Moodle AI Subsystem</x:v>
      </x:c>
      <x:c r="C28" s="3" t="str">
        <x:f>'Landscape'!F57</x:f>
        <x:v>Global</x:v>
      </x:c>
      <x:c r="D28" s="3" t="str">
        <x:f>'Landscape'!D57</x:f>
        <x:v>Open LMS AI integration architecture</x:v>
      </x:c>
      <x:c r="E28" s="3" t="str">
        <x:f>'Landscape'!H57</x:f>
        <x:v>Production core since Moodle 4.5</x:v>
      </x:c>
      <x:c r="F28" s="3" t="str">
        <x:f>'Landscape'!L57</x:f>
        <x:v>Public developer API</x:v>
      </x:c>
      <x:c r="G28" s="3" t="str">
        <x:f>'Landscape'!M57</x:f>
        <x:v>Yes</x:v>
      </x:c>
      <x:c r="H28" s="3" t="str">
        <x:f>'Landscape'!N57</x:f>
        <x:v>N/A; depends on course/provider</x:v>
      </x:c>
      <x:c r="I28" s="3" t="str">
        <x:f>'Landscape'!Q57</x:f>
        <x:v>Architecture / adoption evidence</x:v>
      </x:c>
      <x:c r="J28" s="3" t="str">
        <x:f>'Landscape'!W57</x:f>
        <x:v>Strong open-platform intersection</x:v>
      </x:c>
      <x:c r="K28" s="3" t="str">
        <x:f>'Landscape'!V57</x:f>
        <x:v>Provider neutrality is valuable but does not itself guarantee portability or safety.</x:v>
      </x:c>
      <x:c r="L28" s="3" t="str">
        <x:f>'Landscape'!Y57</x:f>
        <x:v>https://moodledev.io/docs/4.5/apis/subsystems/ai</x:v>
      </x:c>
    </x:row>
    <x:row r="29" ht="38" customHeight="1">
      <x:c r="A29" s="3" t="str">
        <x:f>'Landscape'!A58</x:f>
        <x:v>P053</x:v>
      </x:c>
      <x:c r="B29" s="3" t="str">
        <x:f>'Landscape'!B58</x:f>
        <x:v>ASSISTments + AIDA</x:v>
      </x:c>
      <x:c r="C29" s="3" t="str">
        <x:f>'Landscape'!F58</x:f>
        <x:v>North America</x:v>
      </x:c>
      <x:c r="D29" s="3" t="str">
        <x:f>'Landscape'!D58</x:f>
        <x:v>Research-backed mathematics platform with GenAI feature</x:v>
      </x:c>
      <x:c r="E29" s="3" t="str">
        <x:f>'Landscape'!H58</x:f>
        <x:v>Mature platform; AIDA feature emerging</x:v>
      </x:c>
      <x:c r="F29" s="3" t="str">
        <x:f>'Landscape'!L58</x:f>
        <x:v>Partial</x:v>
      </x:c>
      <x:c r="G29" s="3" t="str">
        <x:f>'Landscape'!M58</x:f>
        <x:v>No / unclear</x:v>
      </x:c>
      <x:c r="H29" s="3" t="str">
        <x:f>'Landscape'!N58</x:f>
        <x:v>Open-curriculum integrations; licences vary across content</x:v>
      </x:c>
      <x:c r="I29" s="3" t="str">
        <x:f>'Landscape'!Q58</x:f>
        <x:v>Causal evidence for core platform; early evidence for AI feature</x:v>
      </x:c>
      <x:c r="J29" s="3" t="str">
        <x:f>'Landscape'!W58</x:f>
        <x:v>Evidence-rich boundary candidate</x:v>
      </x:c>
      <x:c r="K29" s="3" t="str">
        <x:f>'Landscape'!V58</x:f>
        <x:v>Separate evidence for the established platform from the new AI feature.</x:v>
      </x:c>
      <x:c r="L29" s="3" t="str">
        <x:f>'Landscape'!Y58</x:f>
        <x:v>https://www.assistments.org/</x:v>
      </x:c>
    </x:row>
    <x:row r="30" ht="38" customHeight="1">
      <x:c r="A30" s="3" t="str">
        <x:f>'Landscape'!A59</x:f>
        <x:v>P054</x:v>
      </x:c>
      <x:c r="B30" s="3" t="str">
        <x:f>'Landscape'!B59</x:f>
        <x:v>EduChat</x:v>
      </x:c>
      <x:c r="C30" s="3" t="str">
        <x:f>'Landscape'!F59</x:f>
        <x:v>Asia</x:v>
      </x:c>
      <x:c r="D30" s="3" t="str">
        <x:f>'Landscape'!D59</x:f>
        <x:v>Education language model</x:v>
      </x:c>
      <x:c r="E30" s="3" t="str">
        <x:f>'Landscape'!H59</x:f>
        <x:v>Released 2023; repository active through 2025</x:v>
      </x:c>
      <x:c r="F30" s="3" t="str">
        <x:f>'Landscape'!L59</x:f>
        <x:v>No</x:v>
      </x:c>
      <x:c r="G30" s="3" t="str">
        <x:f>'Landscape'!M59</x:f>
        <x:v>Partial / unresolved</x:v>
      </x:c>
      <x:c r="H30" s="3" t="str">
        <x:f>'Landscape'!N59</x:f>
        <x:v>Claims open code/data/model parameters; no declared licence found</x:v>
      </x:c>
      <x:c r="I30" s="3" t="str">
        <x:f>'Landscape'!Q59</x:f>
        <x:v>Academic technical benchmark</x:v>
      </x:c>
      <x:c r="J30" s="3" t="str">
        <x:f>'Landscape'!W59</x:f>
        <x:v>Research watch — licence/safety diligence</x:v>
      </x:c>
      <x:c r="K30" s="3" t="str">
        <x:f>'Landscape'!V59</x:f>
        <x:v>Open claims without a licence are not sufficient for reuse.</x:v>
      </x:c>
      <x:c r="L30" s="3" t="str">
        <x:f>'Landscape'!Y59</x:f>
        <x:v>https://github.com/ECNU-ICALK/EduChat</x:v>
      </x:c>
    </x:row>
    <x:row r="31" ht="38" customHeight="1">
      <x:c r="A31" s="3" t="str">
        <x:f>'Landscape'!A96</x:f>
        <x:v>P091</x:v>
      </x:c>
      <x:c r="B31" s="3" t="str">
        <x:f>'Landscape'!B96</x:f>
        <x:v>Science misconception benchmark (K–12 AI Infrastructure grantee)</x:v>
      </x:c>
      <x:c r="C31" s="3" t="str">
        <x:f>'Landscape'!F96</x:f>
        <x:v>North America</x:v>
      </x:c>
      <x:c r="D31" s="3" t="str">
        <x:f>'Landscape'!D96</x:f>
        <x:v>Planned formative-assessment benchmark</x:v>
      </x:c>
      <x:c r="E31" s="3" t="str">
        <x:f>'Landscape'!H96</x:f>
        <x:v>Announced June 2026; pre-output</x:v>
      </x:c>
      <x:c r="F31" s="3" t="str">
        <x:f>'Landscape'!L96</x:f>
        <x:v>Planned</x:v>
      </x:c>
      <x:c r="G31" s="3" t="str">
        <x:f>'Landscape'!M96</x:f>
        <x:v>No / unclear</x:v>
      </x:c>
      <x:c r="H31" s="3" t="str">
        <x:f>'Landscape'!N96</x:f>
        <x:v>Open benchmark promised</x:v>
      </x:c>
      <x:c r="I31" s="3" t="str">
        <x:f>'Landscape'!Q96</x:f>
        <x:v>Pre-output / no evaluation</x:v>
      </x:c>
      <x:c r="J31" s="3" t="str">
        <x:f>'Landscape'!W96</x:f>
        <x:v>Watchlist — pre-output</x:v>
      </x:c>
      <x:c r="K31" s="3" t="str">
        <x:f>'Landscape'!V96</x:f>
        <x:v>Track as an early signal, not a completed asset.</x:v>
      </x:c>
      <x:c r="L31" s="3" t="str">
        <x:f>'Landscape'!Y96</x:f>
        <x:v>https://digitalpromise.org/2026/06/29/digital-promise-announces-first-grantees-of-the-k-12-ai-infrastructure-program/</x:v>
      </x:c>
    </x:row>
    <x:row r="32" ht="38" customHeight="1">
      <x:c r="A32" s="3" t="str">
        <x:f>'Landscape'!A97</x:f>
        <x:v>P092</x:v>
      </x:c>
      <x:c r="B32" s="3" t="str">
        <x:f>'Landscape'!B97</x:f>
        <x:v>Simulated student-model training pipeline (K–12 AI Infrastructure grantee)</x:v>
      </x:c>
      <x:c r="C32" s="3" t="str">
        <x:f>'Landscape'!F97</x:f>
        <x:v>North America</x:v>
      </x:c>
      <x:c r="D32" s="3" t="str">
        <x:f>'Landscape'!D97</x:f>
        <x:v>Planned privacy-preserving model infrastructure</x:v>
      </x:c>
      <x:c r="E32" s="3" t="str">
        <x:f>'Landscape'!H97</x:f>
        <x:v>Announced June 2026; pre-output</x:v>
      </x:c>
      <x:c r="F32" s="3" t="str">
        <x:f>'Landscape'!L97</x:f>
        <x:v>Planned</x:v>
      </x:c>
      <x:c r="G32" s="3" t="str">
        <x:f>'Landscape'!M97</x:f>
        <x:v>No / unclear</x:v>
      </x:c>
      <x:c r="H32" s="3" t="str">
        <x:f>'Landscape'!N97</x:f>
        <x:v>Open reusable infrastructure promised</x:v>
      </x:c>
      <x:c r="I32" s="3" t="str">
        <x:f>'Landscape'!Q97</x:f>
        <x:v>Pre-output / no evaluation</x:v>
      </x:c>
      <x:c r="J32" s="3" t="str">
        <x:f>'Landscape'!W97</x:f>
        <x:v>Watchlist — pre-output</x:v>
      </x:c>
      <x:c r="K32" s="3" t="str">
        <x:f>'Landscape'!V97</x:f>
        <x:v>No shipped artifact at research cutoff.</x:v>
      </x:c>
      <x:c r="L32" s="3" t="str">
        <x:f>'Landscape'!Y97</x:f>
        <x:v>https://digitalpromise.org/2026/06/29/digital-promise-announces-first-grantees-of-the-k-12-ai-infrastructure-program/</x:v>
      </x:c>
    </x:row>
    <x:row r="33" ht="38" customHeight="1">
      <x:c r="A33" s="3" t="str">
        <x:f>'Landscape'!A98</x:f>
        <x:v>P093</x:v>
      </x:c>
      <x:c r="B33" s="3" t="str">
        <x:f>'Landscape'!B98</x:f>
        <x:v>Open ASR leaderboards for educational contexts</x:v>
      </x:c>
      <x:c r="C33" s="3" t="str">
        <x:f>'Landscape'!F98</x:f>
        <x:v>North America</x:v>
      </x:c>
      <x:c r="D33" s="3" t="str">
        <x:f>'Landscape'!D98</x:f>
        <x:v>Planned speech-recognition benchmark</x:v>
      </x:c>
      <x:c r="E33" s="3" t="str">
        <x:f>'Landscape'!H98</x:f>
        <x:v>Announced June 2026; pre-output</x:v>
      </x:c>
      <x:c r="F33" s="3" t="str">
        <x:f>'Landscape'!L98</x:f>
        <x:v>Planned</x:v>
      </x:c>
      <x:c r="G33" s="3" t="str">
        <x:f>'Landscape'!M98</x:f>
        <x:v>No / unclear</x:v>
      </x:c>
      <x:c r="H33" s="3" t="str">
        <x:f>'Landscape'!N98</x:f>
        <x:v>Open benchmark promised</x:v>
      </x:c>
      <x:c r="I33" s="3" t="str">
        <x:f>'Landscape'!Q98</x:f>
        <x:v>Pre-output / no evaluation</x:v>
      </x:c>
      <x:c r="J33" s="3" t="str">
        <x:f>'Landscape'!W98</x:f>
        <x:v>Watchlist — pre-output</x:v>
      </x:c>
      <x:c r="K33" s="3" t="str">
        <x:f>'Landscape'!V98</x:f>
        <x:v>Pre-output and unusually privacy-sensitive.</x:v>
      </x:c>
      <x:c r="L33" s="3" t="str">
        <x:f>'Landscape'!Y98</x:f>
        <x:v>https://digitalpromise.org/2026/06/29/digital-promise-announces-first-grantees-of-the-k-12-ai-infrastructure-program/</x:v>
      </x:c>
    </x:row>
    <x:row r="34" ht="38" customHeight="1">
      <x:c r="A34" s="3" t="str">
        <x:f>'Landscape'!A99</x:f>
        <x:v>P094</x:v>
      </x:c>
      <x:c r="B34" s="3" t="str">
        <x:f>'Landscape'!B99</x:f>
        <x:v>KB-TutorBench</x:v>
      </x:c>
      <x:c r="C34" s="3" t="str">
        <x:f>'Landscape'!F99</x:f>
        <x:v>North America</x:v>
      </x:c>
      <x:c r="D34" s="3" t="str">
        <x:f>'Landscape'!D99</x:f>
        <x:v>Planned multimodal formative-assessment dataset</x:v>
      </x:c>
      <x:c r="E34" s="3" t="str">
        <x:f>'Landscape'!H99</x:f>
        <x:v>Announced June 2026; pre-output</x:v>
      </x:c>
      <x:c r="F34" s="3" t="str">
        <x:f>'Landscape'!L99</x:f>
        <x:v>Planned</x:v>
      </x:c>
      <x:c r="G34" s="3" t="str">
        <x:f>'Landscape'!M99</x:f>
        <x:v>No / unclear</x:v>
      </x:c>
      <x:c r="H34" s="3" t="str">
        <x:f>'Landscape'!N99</x:f>
        <x:v>Open dataset/benchmark promised</x:v>
      </x:c>
      <x:c r="I34" s="3" t="str">
        <x:f>'Landscape'!Q99</x:f>
        <x:v>Pre-output / no evaluation</x:v>
      </x:c>
      <x:c r="J34" s="3" t="str">
        <x:f>'Landscape'!W99</x:f>
        <x:v>Watchlist — pre-output</x:v>
      </x:c>
      <x:c r="K34" s="3" t="str">
        <x:f>'Landscape'!V99</x:f>
        <x:v>Do not infer openness or quality until artefacts ship.</x:v>
      </x:c>
      <x:c r="L34" s="3" t="str">
        <x:f>'Landscape'!Y99</x:f>
        <x:v>https://digitalpromise.org/2026/06/29/digital-promise-announces-first-grantees-of-the-k-12-ai-infrastructure-program/</x:v>
      </x:c>
    </x:row>
    <x:row r="35" ht="38" customHeight="1">
      <x:c r="A35" s="3" t="str">
        <x:f>'Landscape'!A100</x:f>
        <x:v>P095</x:v>
      </x:c>
      <x:c r="B35" s="3" t="str">
        <x:f>'Landscape'!B100</x:f>
        <x:v>Khan Tutoring Accuracy Dataset</x:v>
      </x:c>
      <x:c r="C35" s="3" t="str">
        <x:f>'Landscape'!F100</x:f>
        <x:v>North America</x:v>
      </x:c>
      <x:c r="D35" s="3" t="str">
        <x:f>'Landscape'!D100</x:f>
        <x:v>AI-tutor evaluation dataset</x:v>
      </x:c>
      <x:c r="E35" s="3" t="str">
        <x:f>'Landscape'!H100</x:f>
        <x:v>Public repository</x:v>
      </x:c>
      <x:c r="F35" s="3" t="str">
        <x:f>'Landscape'!L100</x:f>
        <x:v>No</x:v>
      </x:c>
      <x:c r="G35" s="3" t="str">
        <x:f>'Landscape'!M100</x:f>
        <x:v>Partial / unresolved</x:v>
      </x:c>
      <x:c r="H35" s="3" t="str">
        <x:f>'Landscape'!N100</x:f>
        <x:v>Dataset public but reusable licence unclear</x:v>
      </x:c>
      <x:c r="I35" s="3" t="str">
        <x:f>'Landscape'!Q100</x:f>
        <x:v>Technical benchmark</x:v>
      </x:c>
      <x:c r="J35" s="3" t="str">
        <x:f>'Landscape'!W100</x:f>
        <x:v>Watchlist — licence diligence</x:v>
      </x:c>
      <x:c r="K35" s="3" t="str">
        <x:f>'Landscape'!V100</x:f>
        <x:v>Public GitHub is not automatically open data.</x:v>
      </x:c>
      <x:c r="L35" s="3" t="str">
        <x:f>'Landscape'!Y100</x:f>
        <x:v>https://github.com/Khan/tutoring-accuracy-dataset</x:v>
      </x:c>
    </x:row>
    <x:row r="36" ht="38" customHeight="1">
      <x:c r="A36" s="3" t="str">
        <x:f>'Landscape'!A101</x:f>
        <x:v>P096</x:v>
      </x:c>
      <x:c r="B36" s="3" t="str">
        <x:f>'Landscape'!B101</x:f>
        <x:v>TeachSim on Open edX</x:v>
      </x:c>
      <x:c r="C36" s="3" t="str">
        <x:f>'Landscape'!F101</x:f>
        <x:v>North America</x:v>
      </x:c>
      <x:c r="D36" s="3" t="str">
        <x:f>'Landscape'!D101</x:f>
        <x:v>AI-supported teacher simulation</x:v>
      </x:c>
      <x:c r="E36" s="3" t="str">
        <x:f>'Landscape'!H101</x:f>
        <x:v>Case study published Aug 2026</x:v>
      </x:c>
      <x:c r="F36" s="3" t="str">
        <x:f>'Landscape'!L101</x:f>
        <x:v>Uses SCORM/open platform interfaces</x:v>
      </x:c>
      <x:c r="G36" s="3" t="str">
        <x:f>'Landscape'!M101</x:f>
        <x:v>No / unclear</x:v>
      </x:c>
      <x:c r="H36" s="3" t="str">
        <x:f>'Landscape'!N101</x:f>
        <x:v>Mixed</x:v>
      </x:c>
      <x:c r="I36" s="3" t="str">
        <x:f>'Landscape'!Q101</x:f>
        <x:v>Structured implementation evidence</x:v>
      </x:c>
      <x:c r="J36" s="3" t="str">
        <x:f>'Landscape'!W101</x:f>
        <x:v>Boundary case</x:v>
      </x:c>
      <x:c r="K36" s="3" t="str">
        <x:f>'Landscape'!V101</x:f>
        <x:v>Open platform does not make the full AI service open.</x:v>
      </x:c>
      <x:c r="L36" s="3" t="str">
        <x:f>'Landscape'!Y101</x:f>
        <x:v>https://openedx.org/case-studies/teachsim-ai-powered-teacher-training-built-on-the-open-edx-platform/</x:v>
      </x:c>
    </x:row>
    <x:row r="37" ht="38" customHeight="1">
      <x:c r="A37" s="3" t="str">
        <x:f>'Landscape'!A102</x:f>
        <x:v>P097</x:v>
      </x:c>
      <x:c r="B37" s="3" t="str">
        <x:f>'Landscape'!B102</x:f>
        <x:v>UBC OER-AI Assistant</x:v>
      </x:c>
      <x:c r="C37" s="3" t="str">
        <x:f>'Landscape'!F102</x:f>
        <x:v>North America</x:v>
      </x:c>
      <x:c r="D37" s="3" t="str">
        <x:f>'Landscape'!D102</x:f>
        <x:v>OER-grounded RAG prototype</x:v>
      </x:c>
      <x:c r="E37" s="3" t="str">
        <x:f>'Landscape'!H102</x:f>
        <x:v>Open prototype / research code</x:v>
      </x:c>
      <x:c r="F37" s="3" t="str">
        <x:f>'Landscape'!L102</x:f>
        <x:v>Partial</x:v>
      </x:c>
      <x:c r="G37" s="3" t="str">
        <x:f>'Landscape'!M102</x:f>
        <x:v>Yes</x:v>
      </x:c>
      <x:c r="H37" s="3" t="str">
        <x:f>'Landscape'!N102</x:f>
        <x:v>Uses OER textbooks; source licences vary</x:v>
      </x:c>
      <x:c r="I37" s="3" t="str">
        <x:f>'Landscape'!Q102</x:f>
        <x:v>Prototype / technical demonstration</x:v>
      </x:c>
      <x:c r="J37" s="3" t="str">
        <x:f>'Landscape'!W102</x:f>
        <x:v>Watchlist — explicit intersection</x:v>
      </x:c>
      <x:c r="K37" s="3" t="str">
        <x:f>'Landscape'!V102</x:f>
        <x:v>Prototype status and licence/dependency audit needed.</x:v>
      </x:c>
      <x:c r="L37" s="3" t="str">
        <x:f>'Landscape'!Y102</x:f>
        <x:v>https://github.com/UBC-CIC/OER-AI</x:v>
      </x:c>
    </x:row>
    <x:row r="38" ht="38" customHeight="1">
      <x:c r="A38" s="3" t="str">
        <x:f>'Landscape'!A103</x:f>
        <x:v>P098</x:v>
      </x:c>
      <x:c r="B38" s="3" t="str">
        <x:f>'Landscape'!B103</x:f>
        <x:v>Generative Textbooks</x:v>
      </x:c>
      <x:c r="C38" s="3" t="str">
        <x:f>'Landscape'!F103</x:f>
        <x:v>North America</x:v>
      </x:c>
      <x:c r="D38" s="3" t="str">
        <x:f>'Landscape'!D103</x:f>
        <x:v>Open AI-generated textbook prototype</x:v>
      </x:c>
      <x:c r="E38" s="3" t="str">
        <x:f>'Landscape'!H103</x:f>
        <x:v>Prototype publicised in 2026</x:v>
      </x:c>
      <x:c r="F38" s="3" t="str">
        <x:f>'Landscape'!L103</x:f>
        <x:v>Unclear</x:v>
      </x:c>
      <x:c r="G38" s="3" t="str">
        <x:f>'Landscape'!M103</x:f>
        <x:v>Partial / unresolved</x:v>
      </x:c>
      <x:c r="H38" s="3" t="str">
        <x:f>'Landscape'!N103</x:f>
        <x:v>OER-oriented</x:v>
      </x:c>
      <x:c r="I38" s="3" t="str">
        <x:f>'Landscape'!Q103</x:f>
        <x:v>Prototype / no outcome evidence</x:v>
      </x:c>
      <x:c r="J38" s="3" t="str">
        <x:f>'Landscape'!W103</x:f>
        <x:v>Watchlist — early prototype</x:v>
      </x:c>
      <x:c r="K38" s="3" t="str">
        <x:f>'Landscape'!V103</x:f>
        <x:v>Generated-content provenance, factuality and licence compatibility are unresolved.</x:v>
      </x:c>
      <x:c r="L38" s="3" t="str">
        <x:f>'Landscape'!Y103</x:f>
        <x:v>https://generativetextbooks.org/</x:v>
      </x:c>
    </x:row>
    <x:row r="39" ht="38" customHeight="1">
      <x:c r="A39" s="3" t="str">
        <x:f>'Landscape'!A104</x:f>
        <x:v>P099</x:v>
      </x:c>
      <x:c r="B39" s="3" t="str">
        <x:f>'Landscape'!B104</x:f>
        <x:v>SmartLearning Hub AI Tutor</x:v>
      </x:c>
      <x:c r="C39" s="3" t="str">
        <x:f>'Landscape'!F104</x:f>
        <x:v>North America</x:v>
      </x:c>
      <x:c r="D39" s="3" t="str">
        <x:f>'Landscape'!D104</x:f>
        <x:v>Open higher-education tutor pilot</x:v>
      </x:c>
      <x:c r="E39" s="3" t="str">
        <x:f>'Landscape'!H104</x:f>
        <x:v>Pilot expansion in 2025–26</x:v>
      </x:c>
      <x:c r="F39" s="3" t="str">
        <x:f>'Landscape'!L104</x:f>
        <x:v>No</x:v>
      </x:c>
      <x:c r="G39" s="3" t="str">
        <x:f>'Landscape'!M104</x:f>
        <x:v>Partial / unresolved</x:v>
      </x:c>
      <x:c r="H39" s="3" t="str">
        <x:f>'Landscape'!N104</x:f>
        <x:v>Course grounding depends on institution</x:v>
      </x:c>
      <x:c r="I39" s="3" t="str">
        <x:f>'Landscape'!Q104</x:f>
        <x:v>Structured user evaluation</x:v>
      </x:c>
      <x:c r="J39" s="3" t="str">
        <x:f>'Landscape'!W104</x:f>
        <x:v>Watchlist — promising pilot</x:v>
      </x:c>
      <x:c r="K39" s="3" t="str">
        <x:f>'Landscape'!V104</x:f>
        <x:v>Perception data are not learning outcomes; open-source claim needs legal verification.</x:v>
      </x:c>
      <x:c r="L39" s="3" t="str">
        <x:f>'Landscape'!Y104</x:f>
        <x:v>https://today.ucsd.edu/story/this-bespoke-ai-tutor-helps-students-learning</x:v>
      </x:c>
    </x:row>
    <x:row r="40" ht="38" customHeight="1">
      <x:c r="A40" s="3" t="str">
        <x:f>'Landscape'!A105</x:f>
        <x:v>P100</x:v>
      </x:c>
      <x:c r="B40" s="3" t="str">
        <x:f>'Landscape'!B105</x:f>
        <x:v>Kindly</x:v>
      </x:c>
      <x:c r="C40" s="3" t="str">
        <x:f>'Landscape'!F105</x:f>
        <x:v>Global</x:v>
      </x:c>
      <x:c r="D40" s="3" t="str">
        <x:f>'Landscape'!D105</x:f>
        <x:v>Open AI for child online safety</x:v>
      </x:c>
      <x:c r="E40" s="3" t="str">
        <x:f>'Landscape'!H105</x:f>
        <x:v>Open-source initiative; current operating status needs confirmation</x:v>
      </x:c>
      <x:c r="F40" s="3" t="str">
        <x:f>'Landscape'!L105</x:f>
        <x:v>No</x:v>
      </x:c>
      <x:c r="G40" s="3" t="str">
        <x:f>'Landscape'!M105</x:f>
        <x:v>Partial / unresolved</x:v>
      </x:c>
      <x:c r="H40" s="3" t="str">
        <x:f>'Landscape'!N105</x:f>
        <x:v>Training resources and model/data details vary</x:v>
      </x:c>
      <x:c r="I40" s="3" t="str">
        <x:f>'Landscape'!Q105</x:f>
        <x:v>Prototype / implementation evidence</x:v>
      </x:c>
      <x:c r="J40" s="3" t="str">
        <x:f>'Landscape'!W105</x:f>
        <x:v>Watchlist — public-good AI</x:v>
      </x:c>
      <x:c r="K40" s="3" t="str">
        <x:f>'Landscape'!V105</x:f>
        <x:v>Confirm present status, licence, languages and evaluation before prioritising.</x:v>
      </x:c>
      <x:c r="L40" s="3" t="str">
        <x:f>'Landscape'!Y105</x:f>
        <x:v>https://www.unicef.org/innovation/end-cyberbullying-kindly</x:v>
      </x:c>
    </x:row>
    <x:row r="41" ht="77" customHeight="1">
      <x:c r="A41" s="3" t="str">
        <x:f>'Landscape'!A107</x:f>
        <x:v>P102</x:v>
      </x:c>
      <x:c r="B41" s="3" t="str">
        <x:f>'Landscape'!B107</x:f>
        <x:v>i.AI petri-edu</x:v>
      </x:c>
      <x:c r="C41" s="3" t="str">
        <x:f>'Landscape'!F107</x:f>
        <x:v>Europe</x:v>
      </x:c>
      <x:c r="D41" s="3" t="str">
        <x:f>'Landscape'!D107</x:f>
        <x:v>Education-specialised model-behaviour and alignment auditing tooling</x:v>
      </x:c>
      <x:c r="E41" s="3" t="str">
        <x:f>'Landscape'!H107</x:f>
        <x:v>Public first-party repository created 11 February 2026; education-release branch adaptations were made through 2 June 2026</x:v>
      </x:c>
      <x:c r="F41" s="3" t="str">
        <x:f>'Landscape'!L107</x:f>
        <x:v>No</x:v>
      </x:c>
      <x:c r="G41" s="3" t="str">
        <x:f>'Landscape'!M107</x:f>
        <x:v>Yes</x:v>
      </x:c>
      <x:c r="H41" s="3" t="str">
        <x:f>'Landscape'!N107</x:f>
        <x:v>Code is public; no public education-specific scenarios, benchmark dataset or results located</x:v>
      </x:c>
      <x:c r="I41" s="3" t="str">
        <x:f>'Landscape'!Q107</x:f>
        <x:v>First-party public code artefact / discovery-stage technical evidence</x:v>
      </x:c>
      <x:c r="J41" s="3" t="str">
        <x:f>'Landscape'!W107</x:f>
        <x:v>Watchlist — open evaluation tooling with unverified programme role</x:v>
      </x:c>
      <x:c r="K41" s="3" t="str">
        <x:f>'Landscape'!V107</x:f>
        <x:v>No public education-specific scenarios, results, governance documentation or verified link to the Sovereign Education Benchmark was found; do not treat the repository as an implementation of that benchmark.</x:v>
      </x:c>
      <x:c r="L41" s="3" t="str">
        <x:f>'Landscape'!Y107</x:f>
        <x:v>https://github.com/i-dot-ai/petri-edu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241870125e0647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65" hidden="0" customWidth="1"/>
  </x:cols>
  <x:sheetData>
    <x:row r="1" ht="38" customHeight="1">
      <x:c r="A1" s="5" t="str">
        <x:v>Education standards and infrastructure view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</x:row>
    <x:row r="2" ht="27" customHeight="1">
      <x:c r="A2" s="7" t="str">
        <x:v>36 records selected from the dated Landscape. Cells link to their source rows; membership records this snapshot. Refilter Landscape if categories or records change. The open-code class is broad; detailed qualifications are in Landscape column AB.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</x:row>
    <x:row r="3" ht="27" customHeight="1">
      <x:c r="A3" s="7"/>
      <x:c r="B3" s="7"/>
      <x:c r="C3" s="7"/>
      <x:c r="D3" s="7"/>
      <x:c r="E3" s="7"/>
      <x:c r="F3" s="7"/>
      <x:c r="G3" s="3"/>
      <x:c r="H3" s="3"/>
      <x:c r="I3" s="3"/>
      <x:c r="J3" s="3"/>
      <x:c r="K3" s="3"/>
      <x:c r="L3" s="3"/>
    </x:row>
    <x:row r="4" ht="3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4" customHeight="1">
      <x:c r="A5" s="8" t="str">
        <x:v>ID</x:v>
      </x:c>
      <x:c r="B5" s="8" t="str">
        <x:v>Standard / infrastructure</x:v>
      </x:c>
      <x:c r="C5" s="8" t="str">
        <x:v>Region</x:v>
      </x:c>
      <x:c r="D5" s="8" t="str">
        <x:v>Layer</x:v>
      </x:c>
      <x:c r="E5" s="8" t="str">
        <x:v>Status</x:v>
      </x:c>
      <x:c r="F5" s="8" t="str">
        <x:v>Standard(s)</x:v>
      </x:c>
      <x:c r="G5" s="8" t="str">
        <x:v>Open spec</x:v>
      </x:c>
      <x:c r="H5" s="8" t="str">
        <x:v>Open code</x:v>
      </x:c>
      <x:c r="I5" s="8" t="str">
        <x:v>Evidence / adoption</x:v>
      </x:c>
      <x:c r="J5" s="8" t="str">
        <x:v>AI-enabling relevance</x:v>
      </x:c>
      <x:c r="K5" s="8" t="str">
        <x:v>Privacy / governance issue</x:v>
      </x:c>
      <x:c r="L5" s="8" t="str">
        <x:v>Primary source</x:v>
      </x:c>
    </x:row>
    <x:row r="6" ht="51" customHeight="1">
      <x:c r="A6" s="3" t="str">
        <x:f>'Landscape'!A60</x:f>
        <x:v>P055</x:v>
      </x:c>
      <x:c r="B6" s="3" t="str">
        <x:f>'Landscape'!B60</x:f>
        <x:v>1EdTech LTI / LTI Advantage + Common Cartridge</x:v>
      </x:c>
      <x:c r="C6" s="3" t="str">
        <x:f>'Landscape'!F60</x:f>
        <x:v>Global</x:v>
      </x:c>
      <x:c r="D6" s="3" t="str">
        <x:f>'Landscape'!D60</x:f>
        <x:v>LMS, tool and content interoperability</x:v>
      </x:c>
      <x:c r="E6" s="3" t="str">
        <x:f>'Landscape'!H60</x:f>
        <x:v>Mature standards family; CC 1.4 still Candidate Final</x:v>
      </x:c>
      <x:c r="F6" s="3" t="str">
        <x:f>'Landscape'!K60</x:f>
        <x:v>LTI 1.3, LTI Advantage, Common Cartridge, Thin Common Cartridge</x:v>
      </x:c>
      <x:c r="G6" s="3" t="str">
        <x:f>'Landscape'!L60</x:f>
        <x:v>Public and royalty-free to implement, with restrictive derivative-spec terms</x:v>
      </x:c>
      <x:c r="H6" s="3" t="str">
        <x:f>'Landscape'!M60</x:f>
        <x:v>No / unclear</x:v>
      </x:c>
      <x:c r="I6" s="3" t="str">
        <x:f>'Landscape'!R60</x:f>
        <x:v>Large vendor ecosystem and certified products; no transparent independent deployment census.</x:v>
      </x:c>
      <x:c r="J6" s="3" t="str">
        <x:f>'Landscape'!W60</x:f>
        <x:v>Core interoperability standard</x:v>
      </x:c>
      <x:c r="K6" s="3" t="str">
        <x:f>'Landscape'!U60</x:f>
        <x:v>OAuth/OIDC/JWT security architecture; data minimisation remains local</x:v>
      </x:c>
      <x:c r="L6" s="3" t="str">
        <x:f>'Landscape'!Y60</x:f>
        <x:v>https://www.1edtech.org/standards/lti</x:v>
      </x:c>
    </x:row>
    <x:row r="7" ht="51" customHeight="1">
      <x:c r="A7" s="3" t="str">
        <x:f>'Landscape'!A61</x:f>
        <x:v>P056</x:v>
      </x:c>
      <x:c r="B7" s="3" t="str">
        <x:f>'Landscape'!B61</x:f>
        <x:v>1EdTech Question &amp; Test Interoperability (QTI)</x:v>
      </x:c>
      <x:c r="C7" s="3" t="str">
        <x:f>'Landscape'!F61</x:f>
        <x:v>Global</x:v>
      </x:c>
      <x:c r="D7" s="3" t="str">
        <x:f>'Landscape'!D61</x:f>
        <x:v>Assessment interoperability</x:v>
      </x:c>
      <x:c r="E7" s="3" t="str">
        <x:f>'Landscape'!H61</x:f>
        <x:v>QTI 3.0 Final (May 2022); active certification</x:v>
      </x:c>
      <x:c r="F7" s="3" t="str">
        <x:f>'Landscape'!K61</x:f>
        <x:v>QTI 3.0 incorporating APIP accessibility work</x:v>
      </x:c>
      <x:c r="G7" s="3" t="str">
        <x:f>'Landscape'!L61</x:f>
        <x:v>Public and royalty-free to implement; derivative-spec restrictions</x:v>
      </x:c>
      <x:c r="H7" s="3" t="str">
        <x:f>'Landscape'!M61</x:f>
        <x:v>No / unclear</x:v>
      </x:c>
      <x:c r="I7" s="3" t="str">
        <x:f>'Landscape'!R61</x:f>
        <x:v>Certified products and production assessment use; no independent global census.</x:v>
      </x:c>
      <x:c r="J7" s="3" t="str">
        <x:f>'Landscape'!W61</x:f>
        <x:v>Core interoperability standard</x:v>
      </x:c>
      <x:c r="K7" s="3" t="str">
        <x:f>'Landscape'!U61</x:f>
        <x:v>Security and accommodations supported; validity/bias/data practice remain implementation issues</x:v>
      </x:c>
      <x:c r="L7" s="3" t="str">
        <x:f>'Landscape'!Y61</x:f>
        <x:v>https://www.1edtech.org/standards/qti</x:v>
      </x:c>
    </x:row>
    <x:row r="8" ht="38" customHeight="1">
      <x:c r="A8" s="3" t="str">
        <x:f>'Landscape'!A62</x:f>
        <x:v>P057</x:v>
      </x:c>
      <x:c r="B8" s="3" t="str">
        <x:f>'Landscape'!B62</x:f>
        <x:v>1EdTech OneRoster + Edu-API</x:v>
      </x:c>
      <x:c r="C8" s="3" t="str">
        <x:f>'Landscape'!F62</x:f>
        <x:v>Global</x:v>
      </x:c>
      <x:c r="D8" s="3" t="str">
        <x:f>'Landscape'!D62</x:f>
        <x:v>Administrative and learning-data exchange</x:v>
      </x:c>
      <x:c r="E8" s="3" t="str">
        <x:f>'Landscape'!H62</x:f>
        <x:v>OneRoster 1.2 Final; Edu-API 1.0 MVP Candidate Final in 2025</x:v>
      </x:c>
      <x:c r="F8" s="3" t="str">
        <x:f>'Landscape'!K62</x:f>
        <x:v>OneRoster; Edu-API drawing on LIS, OneRoster and LTI</x:v>
      </x:c>
      <x:c r="G8" s="3" t="str">
        <x:f>'Landscape'!L62</x:f>
        <x:v>Public and RF to implement; licence caveat</x:v>
      </x:c>
      <x:c r="H8" s="3" t="str">
        <x:f>'Landscape'!M62</x:f>
        <x:v>No / unclear</x:v>
      </x:c>
      <x:c r="I8" s="3" t="str">
        <x:f>'Landscape'!R62</x:f>
        <x:v>OneRoster is mature and widely certified; Edu-API remains earlier-stage.</x:v>
      </x:c>
      <x:c r="J8" s="3" t="str">
        <x:f>'Landscape'!W62</x:f>
        <x:v>Core administrative standard</x:v>
      </x:c>
      <x:c r="K8" s="3" t="str">
        <x:f>'Landscape'!U62</x:f>
        <x:v>Security profiles exist; retention/minimisation are not determined by the standard</x:v>
      </x:c>
      <x:c r="L8" s="3" t="str">
        <x:f>'Landscape'!Y62</x:f>
        <x:v>https://www.1edtech.org/standards/oneroster</x:v>
      </x:c>
    </x:row>
    <x:row r="9" ht="51" customHeight="1">
      <x:c r="A9" s="3" t="str">
        <x:f>'Landscape'!A63</x:f>
        <x:v>P058</x:v>
      </x:c>
      <x:c r="B9" s="3" t="str">
        <x:f>'Landscape'!B63</x:f>
        <x:v>1EdTech CASE</x:v>
      </x:c>
      <x:c r="C9" s="3" t="str">
        <x:f>'Landscape'!F63</x:f>
        <x:v>Global</x:v>
      </x:c>
      <x:c r="D9" s="3" t="str">
        <x:f>'Landscape'!D63</x:f>
        <x:v>Curriculum, competency and standards exchange</x:v>
      </x:c>
      <x:c r="E9" s="3" t="str">
        <x:f>'Landscape'!H63</x:f>
        <x:v>Final standard; active ecosystem</x:v>
      </x:c>
      <x:c r="F9" s="3" t="str">
        <x:f>'Landscape'!K63</x:f>
        <x:v>Competencies and Academic Standards Exchange 1.1</x:v>
      </x:c>
      <x:c r="G9" s="3" t="str">
        <x:f>'Landscape'!L63</x:f>
        <x:v>Public and RF to implement; licence caveat</x:v>
      </x:c>
      <x:c r="H9" s="3" t="str">
        <x:f>'Landscape'!M63</x:f>
        <x:v>No / unclear</x:v>
      </x:c>
      <x:c r="I9" s="3" t="str">
        <x:f>'Landscape'!R63</x:f>
        <x:v>Credible formal standard; public scale and semantic-mapping quality evidence remain limited.</x:v>
      </x:c>
      <x:c r="J9" s="3" t="str">
        <x:f>'Landscape'!W63</x:f>
        <x:v>Key AI-grounding enabler</x:v>
      </x:c>
      <x:c r="K9" s="3" t="str">
        <x:f>'Landscape'!U63</x:f>
        <x:v>Mostly public framework data; downstream mastery data can be sensitive</x:v>
      </x:c>
      <x:c r="L9" s="3" t="str">
        <x:f>'Landscape'!Y63</x:f>
        <x:v>https://www.1edtech.org/standards/case</x:v>
      </x:c>
    </x:row>
    <x:row r="10" ht="51" customHeight="1">
      <x:c r="A10" s="3" t="str">
        <x:f>'Landscape'!A64</x:f>
        <x:v>P059</x:v>
      </x:c>
      <x:c r="B10" s="3" t="str">
        <x:f>'Landscape'!B64</x:f>
        <x:v>1EdTech Caliper Analytics</x:v>
      </x:c>
      <x:c r="C10" s="3" t="str">
        <x:f>'Landscape'!F64</x:f>
        <x:v>Global</x:v>
      </x:c>
      <x:c r="D10" s="3" t="str">
        <x:f>'Landscape'!D64</x:f>
        <x:v>Learning activity analytics</x:v>
      </x:c>
      <x:c r="E10" s="3" t="str">
        <x:f>'Landscape'!H64</x:f>
        <x:v>Version 1.2 Final; active</x:v>
      </x:c>
      <x:c r="F10" s="3" t="str">
        <x:f>'Landscape'!K64</x:f>
        <x:v>Caliper Analytics 1.2</x:v>
      </x:c>
      <x:c r="G10" s="3" t="str">
        <x:f>'Landscape'!L64</x:f>
        <x:v>Public specification</x:v>
      </x:c>
      <x:c r="H10" s="3" t="str">
        <x:f>'Landscape'!M64</x:f>
        <x:v>Partial / unresolved</x:v>
      </x:c>
      <x:c r="I10" s="3" t="str">
        <x:f>'Landscape'!R64</x:f>
        <x:v>Formal semantics and implementations exist; deployment and learning-benefit evidence are limited.</x:v>
      </x:c>
      <x:c r="J10" s="3" t="str">
        <x:f>'Landscape'!W64</x:f>
        <x:v>Core analytics standard</x:v>
      </x:c>
      <x:c r="K10" s="3" t="str">
        <x:f>'Landscape'!U64</x:f>
        <x:v>Granular event streams create surveillance and re-identification risk</x:v>
      </x:c>
      <x:c r="L10" s="3" t="str">
        <x:f>'Landscape'!Y64</x:f>
        <x:v>https://www.1edtech.org/standards/caliper</x:v>
      </x:c>
    </x:row>
    <x:row r="11" ht="38" customHeight="1">
      <x:c r="A11" s="3" t="str">
        <x:f>'Landscape'!A65</x:f>
        <x:v>P060</x:v>
      </x:c>
      <x:c r="B11" s="3" t="str">
        <x:f>'Landscape'!B65</x:f>
        <x:v>Open Badges 3.0 + Comprehensive Learner Record 2.0</x:v>
      </x:c>
      <x:c r="C11" s="3" t="str">
        <x:f>'Landscape'!F65</x:f>
        <x:v>Global</x:v>
      </x:c>
      <x:c r="D11" s="3" t="str">
        <x:f>'Landscape'!D65</x:f>
        <x:v>Digital credentials and learner records</x:v>
      </x:c>
      <x:c r="E11" s="3" t="str">
        <x:f>'Landscape'!H65</x:f>
        <x:v>OB 3.0 current document June 2026; CLR 2.0 Final Feb 2025</x:v>
      </x:c>
      <x:c r="F11" s="3" t="str">
        <x:f>'Landscape'!K65</x:f>
        <x:v>Open Badges 3.0, CLR 2.0, W3C VC 2.0, OpenAPI</x:v>
      </x:c>
      <x:c r="G11" s="3" t="str">
        <x:f>'Landscape'!L65</x:f>
        <x:v>Public and RF to implement; licence caveat</x:v>
      </x:c>
      <x:c r="H11" s="3" t="str">
        <x:f>'Landscape'!M65</x:f>
        <x:v>No / unclear</x:v>
      </x:c>
      <x:c r="I11" s="3" t="str">
        <x:f>'Landscape'!R65</x:f>
        <x:v>Mature specification ecosystem; issuer trust, recognition and learner adoption vary.</x:v>
      </x:c>
      <x:c r="J11" s="3" t="str">
        <x:f>'Landscape'!W65</x:f>
        <x:v>Core credential standard</x:v>
      </x:c>
      <x:c r="K11" s="3" t="str">
        <x:f>'Landscape'!U65</x:f>
        <x:v>Correlation, status checks, recovery and wallet loss are material risks</x:v>
      </x:c>
      <x:c r="L11" s="3" t="str">
        <x:f>'Landscape'!Y65</x:f>
        <x:v>https://www.imsglobal.org/spec/ob/v3p0/</x:v>
      </x:c>
    </x:row>
    <x:row r="12" ht="51" customHeight="1">
      <x:c r="A12" s="3" t="str">
        <x:f>'Landscape'!A66</x:f>
        <x:v>P061</x:v>
      </x:c>
      <x:c r="B12" s="3" t="str">
        <x:f>'Landscape'!B66</x:f>
        <x:v>Experience API (xAPI) + cmi5</x:v>
      </x:c>
      <x:c r="C12" s="3" t="str">
        <x:f>'Landscape'!F66</x:f>
        <x:v>Global</x:v>
      </x:c>
      <x:c r="D12" s="3" t="str">
        <x:f>'Landscape'!D66</x:f>
        <x:v>Learning activity and LMS launch</x:v>
      </x:c>
      <x:c r="E12" s="3" t="str">
        <x:f>'Landscape'!H66</x:f>
        <x:v>Mature family; xAPI 2.0 stewardship evolving</x:v>
      </x:c>
      <x:c r="F12" s="3" t="str">
        <x:f>'Landscape'!K66</x:f>
        <x:v>xAPI and cmi5</x:v>
      </x:c>
      <x:c r="G12" s="3" t="str">
        <x:f>'Landscape'!L66</x:f>
        <x:v>Yes</x:v>
      </x:c>
      <x:c r="H12" s="3" t="str">
        <x:f>'Landscape'!M66</x:f>
        <x:v>Yes</x:v>
      </x:c>
      <x:c r="I12" s="3" t="str">
        <x:f>'Landscape'!R66</x:f>
        <x:v>Mature in training niches; global uptake and profile-level interoperability are not well enumerated.</x:v>
      </x:c>
      <x:c r="J12" s="3" t="str">
        <x:f>'Landscape'!W66</x:f>
        <x:v>Core learning-event standard</x:v>
      </x:c>
      <x:c r="K12" s="3" t="str">
        <x:f>'Landscape'!U66</x:f>
        <x:v>Longitudinal activity histories pose surveillance and purpose-creep risks</x:v>
      </x:c>
      <x:c r="L12" s="3" t="str">
        <x:f>'Landscape'!Y66</x:f>
        <x:v>https://github.com/adlnet/xAPI-Spec</x:v>
      </x:c>
    </x:row>
    <x:row r="13" ht="38" customHeight="1">
      <x:c r="A13" s="3" t="str">
        <x:f>'Landscape'!A67</x:f>
        <x:v>P062</x:v>
      </x:c>
      <x:c r="B13" s="3" t="str">
        <x:f>'Landscape'!B67</x:f>
        <x:v>Ed-Fi Data Standard and APIs</x:v>
      </x:c>
      <x:c r="C13" s="3" t="str">
        <x:f>'Landscape'!F67</x:f>
        <x:v>North America</x:v>
      </x:c>
      <x:c r="D13" s="3" t="str">
        <x:f>'Landscape'!D67</x:f>
        <x:v>K–12 data interoperability and operational store</x:v>
      </x:c>
      <x:c r="E13" s="3" t="str">
        <x:f>'Landscape'!H67</x:f>
        <x:v>Active; Data Standard 6.1 and platform transition toward 2028–29</x:v>
      </x:c>
      <x:c r="F13" s="3" t="str">
        <x:f>'Landscape'!K67</x:f>
        <x:v>Ed-Fi Data Standard and Resources APIs; aligned with CEDS</x:v>
      </x:c>
      <x:c r="G13" s="3" t="str">
        <x:f>'Landscape'!L67</x:f>
        <x:v>Yes</x:v>
      </x:c>
      <x:c r="H13" s="3" t="str">
        <x:f>'Landscape'!M67</x:f>
        <x:v>Yes</x:v>
      </x:c>
      <x:c r="I13" s="3" t="str">
        <x:f>'Landscape'!R67</x:f>
        <x:v>State cases and certified partners show adoption; benefits are largely steward-reported.</x:v>
      </x:c>
      <x:c r="J13" s="3" t="str">
        <x:f>'Landscape'!W67</x:f>
        <x:v>Core K–12 data standard</x:v>
      </x:c>
      <x:c r="K13" s="3" t="str">
        <x:f>'Landscape'!U67</x:f>
        <x:v>Authorisation, provenance, fairness and student agency remain local</x:v>
      </x:c>
      <x:c r="L13" s="3" t="str">
        <x:f>'Landscape'!Y67</x:f>
        <x:v>https://docs.ed-fi.org/reference/</x:v>
      </x:c>
    </x:row>
    <x:row r="14" ht="38" customHeight="1">
      <x:c r="A14" s="3" t="str">
        <x:f>'Landscape'!A68</x:f>
        <x:v>P063</x:v>
      </x:c>
      <x:c r="B14" s="3" t="str">
        <x:f>'Landscape'!B68</x:f>
        <x:v>Schools Interoperability Framework (SIF)</x:v>
      </x:c>
      <x:c r="C14" s="3" t="str">
        <x:f>'Landscape'!F68</x:f>
        <x:v>Global</x:v>
      </x:c>
      <x:c r="D14" s="3" t="str">
        <x:f>'Landscape'!D68</x:f>
        <x:v>School data models and service architecture</x:v>
      </x:c>
      <x:c r="E14" s="3" t="str">
        <x:f>'Landscape'!H68</x:f>
        <x:v>Mature with regional versions</x:v>
      </x:c>
      <x:c r="F14" s="3" t="str">
        <x:f>'Landscape'!K68</x:f>
        <x:v>SIF North America, Australia and other profiles</x:v>
      </x:c>
      <x:c r="G14" s="3" t="str">
        <x:f>'Landscape'!L68</x:f>
        <x:v>Described as open, non-proprietary and transparent</x:v>
      </x:c>
      <x:c r="H14" s="3" t="str">
        <x:f>'Landscape'!M68</x:f>
        <x:v>Partial / unresolved</x:v>
      </x:c>
      <x:c r="I14" s="3" t="str">
        <x:f>'Landscape'!R68</x:f>
        <x:v>Long institutional history; current certification and deployment counts are limited.</x:v>
      </x:c>
      <x:c r="J14" s="3" t="str">
        <x:f>'Landscape'!W68</x:f>
        <x:v>Established regional standard</x:v>
      </x:c>
      <x:c r="K14" s="3" t="str">
        <x:f>'Landscape'!U68</x:f>
        <x:v>Privacy controls sit outside the data model</x:v>
      </x:c>
      <x:c r="L14" s="3" t="str">
        <x:f>'Landscape'!Y68</x:f>
        <x:v>https://data.a4l.org/sif-specifications/</x:v>
      </x:c>
    </x:row>
    <x:row r="15" ht="51" customHeight="1">
      <x:c r="A15" s="3" t="str">
        <x:f>'Landscape'!A69</x:f>
        <x:v>P064</x:v>
      </x:c>
      <x:c r="B15" s="3" t="str">
        <x:f>'Landscape'!B69</x:f>
        <x:v>Common Education Data Standards (CEDS)</x:v>
      </x:c>
      <x:c r="C15" s="3" t="str">
        <x:f>'Landscape'!F69</x:f>
        <x:v>North America</x:v>
      </x:c>
      <x:c r="D15" s="3" t="str">
        <x:f>'Landscape'!D69</x:f>
        <x:v>Education semantic data model</x:v>
      </x:c>
      <x:c r="E15" s="3" t="str">
        <x:f>'Landscape'!H69</x:f>
        <x:v>Continuously maintained voluntary standard</x:v>
      </x:c>
      <x:c r="F15" s="3" t="str">
        <x:f>'Landscape'!K69</x:f>
        <x:v>CEDS</x:v>
      </x:c>
      <x:c r="G15" s="3" t="str">
        <x:f>'Landscape'!L69</x:f>
        <x:v>Yes / public government resource</x:v>
      </x:c>
      <x:c r="H15" s="3" t="str">
        <x:f>'Landscape'!M69</x:f>
        <x:v>Partial / unresolved</x:v>
      </x:c>
      <x:c r="I15" s="3" t="str">
        <x:f>'Landscape'!R69</x:f>
        <x:v>Federal longevity and stakeholder process; voluntary use does not ensure consistent local interpretation.</x:v>
      </x:c>
      <x:c r="J15" s="3" t="str">
        <x:f>'Landscape'!W69</x:f>
        <x:v>Foundational semantic standard</x:v>
      </x:c>
      <x:c r="K15" s="3" t="str">
        <x:f>'Landscape'!U69</x:f>
        <x:v>Defines sensitive concepts but is not a privacy-control system</x:v>
      </x:c>
      <x:c r="L15" s="3" t="str">
        <x:f>'Landscape'!Y69</x:f>
        <x:v>https://ceds.ed.gov/</x:v>
      </x:c>
    </x:row>
    <x:row r="16" ht="51" customHeight="1">
      <x:c r="A16" s="3" t="str">
        <x:f>'Landscape'!A70</x:f>
        <x:v>P065</x:v>
      </x:c>
      <x:c r="B16" s="3" t="str">
        <x:f>'Landscape'!B70</x:f>
        <x:v>Project Unicorn</x:v>
      </x:c>
      <x:c r="C16" s="3" t="str">
        <x:f>'Landscape'!F70</x:f>
        <x:v>North America</x:v>
      </x:c>
      <x:c r="D16" s="3" t="str">
        <x:f>'Landscape'!D70</x:f>
        <x:v>Interoperability adoption and procurement</x:v>
      </x:c>
      <x:c r="E16" s="3" t="str">
        <x:f>'Landscape'!H70</x:f>
        <x:v>Active national initiative</x:v>
      </x:c>
      <x:c r="F16" s="3" t="str">
        <x:f>'Landscape'!K70</x:f>
        <x:v>Promotes Ed-Fi, SIF and 1EdTech use</x:v>
      </x:c>
      <x:c r="G16" s="3" t="str">
        <x:f>'Landscape'!L70</x:f>
        <x:v>Public governance resources</x:v>
      </x:c>
      <x:c r="H16" s="3" t="str">
        <x:f>'Landscape'!M70</x:f>
        <x:v>N/A</x:v>
      </x:c>
      <x:c r="I16" s="3" t="str">
        <x:f>'Landscape'!R70</x:f>
        <x:v>Annual school-system survey and certified products; certification may include roadmap intent, weaker than strict conformance.</x:v>
      </x:c>
      <x:c r="J16" s="3" t="str">
        <x:f>'Landscape'!W70</x:f>
        <x:v>Important market-shaping programme</x:v>
      </x:c>
      <x:c r="K16" s="3" t="str">
        <x:f>'Landscape'!U70</x:f>
        <x:v>Privacy is paired with interoperability in the rubric</x:v>
      </x:c>
      <x:c r="L16" s="3" t="str">
        <x:f>'Landscape'!Y70</x:f>
        <x:v>https://www.projectunicorn.org/</x:v>
      </x:c>
    </x:row>
    <x:row r="17" ht="51" customHeight="1">
      <x:c r="A17" s="3" t="str">
        <x:f>'Landscape'!A71</x:f>
        <x:v>P066</x:v>
      </x:c>
      <x:c r="B17" s="3" t="str">
        <x:f>'Landscape'!B71</x:f>
        <x:v>PESC education-data standards</x:v>
      </x:c>
      <x:c r="C17" s="3" t="str">
        <x:f>'Landscape'!F71</x:f>
        <x:v>North America</x:v>
      </x:c>
      <x:c r="D17" s="3" t="str">
        <x:f>'Landscape'!D71</x:f>
        <x:v>Secondary/postsecondary data exchange</x:v>
      </x:c>
      <x:c r="E17" s="3" t="str">
        <x:f>'Landscape'!H71</x:f>
        <x:v>Mature standards suite</x:v>
      </x:c>
      <x:c r="F17" s="3" t="str">
        <x:f>'Landscape'!K71</x:f>
        <x:v>PESC approved standards</x:v>
      </x:c>
      <x:c r="G17" s="3" t="str">
        <x:f>'Landscape'!L71</x:f>
        <x:v>Public and free to use under PESC terms</x:v>
      </x:c>
      <x:c r="H17" s="3" t="str">
        <x:f>'Landscape'!M71</x:f>
        <x:v>N/A</x:v>
      </x:c>
      <x:c r="I17" s="3" t="str">
        <x:f>'Landscape'!R71</x:f>
        <x:v>Long-running transcript use; exact current deployment scale is not independently enumerated.</x:v>
      </x:c>
      <x:c r="J17" s="3" t="str">
        <x:f>'Landscape'!W71</x:f>
        <x:v>Established transcript standard</x:v>
      </x:c>
      <x:c r="K17" s="3" t="str">
        <x:f>'Landscape'!U71</x:f>
        <x:v>Sensitive records require strong operational security and minimisation</x:v>
      </x:c>
      <x:c r="L17" s="3" t="str">
        <x:f>'Landscape'!Y71</x:f>
        <x:v>https://pesc.org/approved-standards/</x:v>
      </x:c>
    </x:row>
    <x:row r="18" ht="51" customHeight="1">
      <x:c r="A18" s="3" t="str">
        <x:f>'Landscape'!A72</x:f>
        <x:v>P067</x:v>
      </x:c>
      <x:c r="B18" s="3" t="str">
        <x:f>'Landscape'!B72</x:f>
        <x:v>W3C Verifiable Credentials Data Model 2.0</x:v>
      </x:c>
      <x:c r="C18" s="3" t="str">
        <x:f>'Landscape'!F72</x:f>
        <x:v>Global</x:v>
      </x:c>
      <x:c r="D18" s="3" t="str">
        <x:f>'Landscape'!D72</x:f>
        <x:v>Horizontal credential trust foundation</x:v>
      </x:c>
      <x:c r="E18" s="3" t="str">
        <x:f>'Landscape'!H72</x:f>
        <x:v>W3C Recommendation, May 2025</x:v>
      </x:c>
      <x:c r="F18" s="3" t="str">
        <x:f>'Landscape'!K72</x:f>
        <x:v>W3C VC 2.0; often paired with DIDs/status mechanisms</x:v>
      </x:c>
      <x:c r="G18" s="3" t="str">
        <x:f>'Landscape'!L72</x:f>
        <x:v>Yes — public W3C standard</x:v>
      </x:c>
      <x:c r="H18" s="3" t="str">
        <x:f>'Landscape'!M72</x:f>
        <x:v>No / unclear</x:v>
      </x:c>
      <x:c r="I18" s="3" t="str">
        <x:f>'Landscape'!R72</x:f>
        <x:v>Adopted by Open Badges, EDC and wallet projects; education-specific conformance scale varies.</x:v>
      </x:c>
      <x:c r="J18" s="3" t="str">
        <x:f>'Landscape'!W72</x:f>
        <x:v>Foundational credential standard</x:v>
      </x:c>
      <x:c r="K18" s="3" t="str">
        <x:f>'Landscape'!U72</x:f>
        <x:v>Correlation, status lists, identifiers and trust registries need privacy design</x:v>
      </x:c>
      <x:c r="L18" s="3" t="str">
        <x:f>'Landscape'!Y72</x:f>
        <x:v>https://www.w3.org/TR/vc-data-model-2.0/</x:v>
      </x:c>
    </x:row>
    <x:row r="19" ht="51" customHeight="1">
      <x:c r="A19" s="3" t="str">
        <x:f>'Landscape'!A73</x:f>
        <x:v>P068</x:v>
      </x:c>
      <x:c r="B19" s="3" t="str">
        <x:f>'Landscape'!B73</x:f>
        <x:v>European Learning Model + European Digital Credentials for Learning</x:v>
      </x:c>
      <x:c r="C19" s="3" t="str">
        <x:f>'Landscape'!F73</x:f>
        <x:v>Europe</x:v>
      </x:c>
      <x:c r="D19" s="3" t="str">
        <x:f>'Landscape'!D73</x:f>
        <x:v>Semantic model and credential infrastructure</x:v>
      </x:c>
      <x:c r="E19" s="3" t="str">
        <x:f>'Landscape'!H73</x:f>
        <x:v>Operational and versioned; ELM v3 from 2023</x:v>
      </x:c>
      <x:c r="F19" s="3" t="str">
        <x:f>'Landscape'!K73</x:f>
        <x:v>ELM, W3C VC, RDF/JSON-LD, OpenAPI</x:v>
      </x:c>
      <x:c r="G19" s="3" t="str">
        <x:f>'Landscape'!L73</x:f>
        <x:v>Yes</x:v>
      </x:c>
      <x:c r="H19" s="3" t="str">
        <x:f>'Landscape'!M73</x:f>
        <x:v>Yes</x:v>
      </x:c>
      <x:c r="I19" s="3" t="str">
        <x:f>'Landscape'!R73</x:f>
        <x:v>Official EU operation is a strong signal; public issuer and learner-volume metrics are sparse.</x:v>
      </x:c>
      <x:c r="J19" s="3" t="str">
        <x:f>'Landscape'!W73</x:f>
        <x:v>Major public credential infrastructure</x:v>
      </x:c>
      <x:c r="K19" s="3" t="str">
        <x:f>'Landscape'!U73</x:f>
        <x:v>Identifier resolution, trust alignment and wallet handling require governance</x:v>
      </x:c>
      <x:c r="L19" s="3" t="str">
        <x:f>'Landscape'!Y73</x:f>
        <x:v>https://europa.eu/europass/elm-browser/index.html</x:v>
      </x:c>
    </x:row>
    <x:row r="20" ht="51" customHeight="1">
      <x:c r="A20" s="3" t="str">
        <x:f>'Landscape'!A74</x:f>
        <x:v>P069</x:v>
      </x:c>
      <x:c r="B20" s="3" t="str">
        <x:f>'Landscape'!B74</x:f>
        <x:v>Digital Credentials Consortium Learner Credential Wallet</x:v>
      </x:c>
      <x:c r="C20" s="3" t="str">
        <x:f>'Landscape'!F74</x:f>
        <x:v>Global</x:v>
      </x:c>
      <x:c r="D20" s="3" t="str">
        <x:f>'Landscape'!D74</x:f>
        <x:v>Open learner credential wallet</x:v>
      </x:c>
      <x:c r="E20" s="3" t="str">
        <x:f>'Landscape'!H74</x:f>
        <x:v>Active open-source project; pilot adoption</x:v>
      </x:c>
      <x:c r="F20" s="3" t="str">
        <x:f>'Landscape'!K74</x:f>
        <x:v>W3C VC, Open Badges and related education profiles</x:v>
      </x:c>
      <x:c r="G20" s="3" t="str">
        <x:f>'Landscape'!L74</x:f>
        <x:v>Uses open standards</x:v>
      </x:c>
      <x:c r="H20" s="3" t="str">
        <x:f>'Landscape'!M74</x:f>
        <x:v>Yes</x:v>
      </x:c>
      <x:c r="I20" s="3" t="str">
        <x:f>'Landscape'!R74</x:f>
        <x:v>University pilots demonstrate feasibility; broad admissions/employer recognition remains limited.</x:v>
      </x:c>
      <x:c r="J20" s="3" t="str">
        <x:f>'Landscape'!W74</x:f>
        <x:v>Strong open credential implementation</x:v>
      </x:c>
      <x:c r="K20" s="3" t="str">
        <x:f>'Landscape'!U74</x:f>
        <x:v>Key recovery, accessibility, trust registries and selective disclosure remain maturity issues</x:v>
      </x:c>
      <x:c r="L20" s="3" t="str">
        <x:f>'Landscape'!Y74</x:f>
        <x:v>https://digitalcredentials.mit.edu/our-work</x:v>
      </x:c>
    </x:row>
    <x:row r="21" ht="51" customHeight="1">
      <x:c r="A21" s="3" t="str">
        <x:f>'Landscape'!A75</x:f>
        <x:v>P070</x:v>
      </x:c>
      <x:c r="B21" s="3" t="str">
        <x:f>'Landscape'!B75</x:f>
        <x:v>OpenCerts 3 / TrustVC</x:v>
      </x:c>
      <x:c r="C21" s="3" t="str">
        <x:f>'Landscape'!F75</x:f>
        <x:v>Asia</x:v>
      </x:c>
      <x:c r="D21" s="3" t="str">
        <x:f>'Landscape'!D75</x:f>
        <x:v>National credential verification</x:v>
      </x:c>
      <x:c r="E21" s="3" t="str">
        <x:f>'Landscape'!H75</x:f>
        <x:v>Operational; migrating from OpenAttestation to TrustVC in 2025–26</x:v>
      </x:c>
      <x:c r="F21" s="3" t="str">
        <x:f>'Landscape'!K75</x:f>
        <x:v>W3C VC 2.0, did:web, data-integrity proofs and status lists</x:v>
      </x:c>
      <x:c r="G21" s="3" t="str">
        <x:f>'Landscape'!L75</x:f>
        <x:v>Uses open standards</x:v>
      </x:c>
      <x:c r="H21" s="3" t="str">
        <x:f>'Landscape'!M75</x:f>
        <x:v>Yes</x:v>
      </x:c>
      <x:c r="I21" s="3" t="str">
        <x:f>'Landscape'!R75</x:f>
        <x:v>National verifier and government stewardship are strong; version-sensitive migration complicates continuity.</x:v>
      </x:c>
      <x:c r="J21" s="3" t="str">
        <x:f>'Landscape'!W75</x:f>
        <x:v>National open-credential case</x:v>
      </x:c>
      <x:c r="K21" s="3" t="str">
        <x:f>'Landscape'!U75</x:f>
        <x:v>Off-chain status lists and identifiers need correlation analysis</x:v>
      </x:c>
      <x:c r="L21" s="3" t="str">
        <x:f>'Landscape'!Y75</x:f>
        <x:v>https://www.opencerts.io/faq/</x:v>
      </x:c>
    </x:row>
    <x:row r="22" ht="51" customHeight="1">
      <x:c r="A22" s="3" t="str">
        <x:f>'Landscape'!A76</x:f>
        <x:v>P071</x:v>
      </x:c>
      <x:c r="B22" s="3" t="str">
        <x:f>'Landscape'!B76</x:f>
        <x:v>EMREX / ELMO</x:v>
      </x:c>
      <x:c r="C22" s="3" t="str">
        <x:f>'Landscape'!F76</x:f>
        <x:v>Europe</x:v>
      </x:c>
      <x:c r="D22" s="3" t="str">
        <x:f>'Landscape'!D76</x:f>
        <x:v>Learner-mediated results exchange</x:v>
      </x:c>
      <x:c r="E22" s="3" t="str">
        <x:f>'Landscape'!H76</x:f>
        <x:v>Operational network</x:v>
      </x:c>
      <x:c r="F22" s="3" t="str">
        <x:f>'Landscape'!K76</x:f>
        <x:v>ELMO XML; central registry for discovery</x:v>
      </x:c>
      <x:c r="G22" s="3" t="str">
        <x:f>'Landscape'!L76</x:f>
        <x:v>Yes / public technical architecture</x:v>
      </x:c>
      <x:c r="H22" s="3" t="str">
        <x:f>'Landscape'!M76</x:f>
        <x:v>Yes</x:v>
      </x:c>
      <x:c r="I22" s="3" t="str">
        <x:f>'Landscape'!R76</x:f>
        <x:v>Named countries and production integrations; public transaction-volume evidence is limited.</x:v>
      </x:c>
      <x:c r="J22" s="3" t="str">
        <x:f>'Landscape'!W76</x:f>
        <x:v>Mature mobility infrastructure</x:v>
      </x:c>
      <x:c r="K22" s="3" t="str">
        <x:f>'Landscape'!U76</x:f>
        <x:v>Learner-mediated transfer reduces central storage; national identity integrations remain sensitive</x:v>
      </x:c>
      <x:c r="L22" s="3" t="str">
        <x:f>'Landscape'!Y76</x:f>
        <x:v>https://emrex.eu/technical/</x:v>
      </x:c>
    </x:row>
    <x:row r="23" ht="51" customHeight="1">
      <x:c r="A23" s="3" t="str">
        <x:f>'Landscape'!A77</x:f>
        <x:v>P072</x:v>
      </x:c>
      <x:c r="B23" s="3" t="str">
        <x:f>'Landscape'!B77</x:f>
        <x:v>Erasmus Without Paper</x:v>
      </x:c>
      <x:c r="C23" s="3" t="str">
        <x:f>'Landscape'!F77</x:f>
        <x:v>Europe</x:v>
      </x:c>
      <x:c r="D23" s="3" t="str">
        <x:f>'Landscape'!D77</x:f>
        <x:v>Mobility administration APIs</x:v>
      </x:c>
      <x:c r="E23" s="3" t="str">
        <x:f>'Landscape'!H77</x:f>
        <x:v>Operational network; adoption still uneven</x:v>
      </x:c>
      <x:c r="F23" s="3" t="str">
        <x:f>'Landscape'!K77</x:f>
        <x:v>EWP API specifications and registry</x:v>
      </x:c>
      <x:c r="G23" s="3" t="str">
        <x:f>'Landscape'!L77</x:f>
        <x:v>Yes</x:v>
      </x:c>
      <x:c r="H23" s="3" t="str">
        <x:f>'Landscape'!M77</x:f>
        <x:v>Partial / unresolved</x:v>
      </x:c>
      <x:c r="I23" s="3" t="str">
        <x:f>'Landscape'!R77</x:f>
        <x:v>Majority institutional uptake reported, while digitalisation targets and coverage gaps remain.</x:v>
      </x:c>
      <x:c r="J23" s="3" t="str">
        <x:f>'Landscape'!W77</x:f>
        <x:v>Large-scale public API network</x:v>
      </x:c>
      <x:c r="K23" s="3" t="str">
        <x:f>'Landscape'!U77</x:f>
        <x:v>GDPR framing; identity matching and resilience depend on connected systems</x:v>
      </x:c>
      <x:c r="L23" s="3" t="str">
        <x:f>'Landscape'!Y77</x:f>
        <x:v>https://developers.erasmuswithoutpaper.eu/</x:v>
      </x:c>
    </x:row>
    <x:row r="24" ht="38" customHeight="1">
      <x:c r="A24" s="3" t="str">
        <x:f>'Landscape'!A78</x:f>
        <x:v>P073</x:v>
      </x:c>
      <x:c r="B24" s="3" t="str">
        <x:f>'Landscape'!B78</x:f>
        <x:v>eduGAIN + eduPerson</x:v>
      </x:c>
      <x:c r="C24" s="3" t="str">
        <x:f>'Landscape'!F78</x:f>
        <x:v>Global</x:v>
      </x:c>
      <x:c r="D24" s="3" t="str">
        <x:f>'Landscape'!D78</x:f>
        <x:v>Federated research/education identity</x:v>
      </x:c>
      <x:c r="E24" s="3" t="str">
        <x:f>'Landscape'!H78</x:f>
        <x:v>Mature operational federation</x:v>
      </x:c>
      <x:c r="F24" s="3" t="str">
        <x:f>'Landscape'!K78</x:f>
        <x:v>SAML federation profiles; eduPerson LDAP schema</x:v>
      </x:c>
      <x:c r="G24" s="3" t="str">
        <x:f>'Landscape'!L78</x:f>
        <x:v>Yes / public profiles and schemas</x:v>
      </x:c>
      <x:c r="H24" s="3" t="str">
        <x:f>'Landscape'!M78</x:f>
        <x:v>No / unclear</x:v>
      </x:c>
      <x:c r="I24" s="3" t="str">
        <x:f>'Landscape'!R78</x:f>
        <x:v>GÉANT 2025 reports 83 members and about 10,100 entities; strong operational maturity.</x:v>
      </x:c>
      <x:c r="J24" s="3" t="str">
        <x:f>'Landscape'!W78</x:f>
        <x:v>Foundational identity infrastructure</x:v>
      </x:c>
      <x:c r="K24" s="3" t="str">
        <x:f>'Landscape'!U78</x:f>
        <x:v>Attribute release, identifiers and logs require minimisation</x:v>
      </x:c>
      <x:c r="L24" s="3" t="str">
        <x:f>'Landscape'!Y78</x:f>
        <x:v>https://wiki.refeds.org/display/STAN/eduPerson%2B2021-11</x:v>
      </x:c>
    </x:row>
    <x:row r="25" ht="38" customHeight="1">
      <x:c r="A25" s="3" t="str">
        <x:f>'Landscape'!A79</x:f>
        <x:v>P074</x:v>
      </x:c>
      <x:c r="B25" s="3" t="str">
        <x:f>'Landscape'!B79</x:f>
        <x:v>eduroam</x:v>
      </x:c>
      <x:c r="C25" s="3" t="str">
        <x:f>'Landscape'!F79</x:f>
        <x:v>Global</x:v>
      </x:c>
      <x:c r="D25" s="3" t="str">
        <x:f>'Landscape'!D79</x:f>
        <x:v>Federated network access</x:v>
      </x:c>
      <x:c r="E25" s="3" t="str">
        <x:f>'Landscape'!H79</x:f>
        <x:v>Mature global service</x:v>
      </x:c>
      <x:c r="F25" s="3" t="str">
        <x:f>'Landscape'!K79</x:f>
        <x:v>802.1X, EAP and RADIUS</x:v>
      </x:c>
      <x:c r="G25" s="3" t="str">
        <x:f>'Landscape'!L79</x:f>
        <x:v>Uses open network standards</x:v>
      </x:c>
      <x:c r="H25" s="3" t="str">
        <x:f>'Landscape'!M79</x:f>
        <x:v>No / unclear</x:v>
      </x:c>
      <x:c r="I25" s="3" t="str">
        <x:f>'Landscape'!R79</x:f>
        <x:v>About 45,000 locations and billions of annual authentications reported by GÉANT.</x:v>
      </x:c>
      <x:c r="J25" s="3" t="str">
        <x:f>'Landscape'!W79</x:f>
        <x:v>Global public digital infrastructure</x:v>
      </x:c>
      <x:c r="K25" s="3" t="str">
        <x:f>'Landscape'!U79</x:f>
        <x:v>Identity metadata and RADIUS logs require careful policy</x:v>
      </x:c>
      <x:c r="L25" s="3" t="str">
        <x:f>'Landscape'!Y79</x:f>
        <x:v>https://ar.geant.org/ar2025/</x:v>
      </x:c>
    </x:row>
    <x:row r="26" ht="51" customHeight="1">
      <x:c r="A26" s="3" t="str">
        <x:f>'Landscape'!A80</x:f>
        <x:v>P075</x:v>
      </x:c>
      <x:c r="B26" s="3" t="str">
        <x:f>'Landscape'!B80</x:f>
        <x:v>Learning Resource Metadata Initiative (LRMI)</x:v>
      </x:c>
      <x:c r="C26" s="3" t="str">
        <x:f>'Landscape'!F80</x:f>
        <x:v>Global</x:v>
      </x:c>
      <x:c r="D26" s="3" t="str">
        <x:f>'Landscape'!D80</x:f>
        <x:v>Learning-resource metadata</x:v>
      </x:c>
      <x:c r="E26" s="3" t="str">
        <x:f>'Landscape'!H80</x:f>
        <x:v>Stable, community-maintained vocabulary</x:v>
      </x:c>
      <x:c r="F26" s="3" t="str">
        <x:f>'Landscape'!K80</x:f>
        <x:v>LRMI / Schema.org LearningResource terms</x:v>
      </x:c>
      <x:c r="G26" s="3" t="str">
        <x:f>'Landscape'!L80</x:f>
        <x:v>Yes / public vocabulary</x:v>
      </x:c>
      <x:c r="H26" s="3" t="str">
        <x:f>'Landscape'!M80</x:f>
        <x:v>N/A</x:v>
      </x:c>
      <x:c r="I26" s="3" t="str">
        <x:f>'Landscape'!R80</x:f>
        <x:v>Influence through Schema.org and repositories; current implementation counts and metadata-quality evidence are sparse.</x:v>
      </x:c>
      <x:c r="J26" s="3" t="str">
        <x:f>'Landscape'!W80</x:f>
        <x:v>Foundational content-metadata standard</x:v>
      </x:c>
      <x:c r="K26" s="3" t="str">
        <x:f>'Landscape'!U80</x:f>
        <x:v>Primarily resource metadata; low personal-data exposure</x:v>
      </x:c>
      <x:c r="L26" s="3" t="str">
        <x:f>'Landscape'!Y80</x:f>
        <x:v>https://www.dublincore.org/about/lrmi/</x:v>
      </x:c>
    </x:row>
    <x:row r="27" ht="38" customHeight="1">
      <x:c r="A27" s="3" t="str">
        <x:f>'Landscape'!A81</x:f>
        <x:v>P076</x:v>
      </x:c>
      <x:c r="B27" s="3" t="str">
        <x:f>'Landscape'!B81</x:f>
        <x:v>OAI-PMH</x:v>
      </x:c>
      <x:c r="C27" s="3" t="str">
        <x:f>'Landscape'!F81</x:f>
        <x:v>Global</x:v>
      </x:c>
      <x:c r="D27" s="3" t="str">
        <x:f>'Landscape'!D81</x:f>
        <x:v>Repository metadata harvesting</x:v>
      </x:c>
      <x:c r="E27" s="3" t="str">
        <x:f>'Landscape'!H81</x:f>
        <x:v>Stable v2.0 since 2002; maintenance only</x:v>
      </x:c>
      <x:c r="F27" s="3" t="str">
        <x:f>'Landscape'!K81</x:f>
        <x:v>Open Archives Initiative Protocol for Metadata Harvesting</x:v>
      </x:c>
      <x:c r="G27" s="3" t="str">
        <x:f>'Landscape'!L81</x:f>
        <x:v>Yes</x:v>
      </x:c>
      <x:c r="H27" s="3" t="str">
        <x:f>'Landscape'!M81</x:f>
        <x:v>No / unclear</x:v>
      </x:c>
      <x:c r="I27" s="3" t="str">
        <x:f>'Landscape'!R81</x:f>
        <x:v>Widespread repository use and longevity; no current global deployment census.</x:v>
      </x:c>
      <x:c r="J27" s="3" t="str">
        <x:f>'Landscape'!W81</x:f>
        <x:v>Foundational repository protocol</x:v>
      </x:c>
      <x:c r="K27" s="3" t="str">
        <x:f>'Landscape'!U81</x:f>
        <x:v>Usually public metadata; records can still expose sensitive context</x:v>
      </x:c>
      <x:c r="L27" s="3" t="str">
        <x:f>'Landscape'!Y81</x:f>
        <x:v>https://www.openarchives.org/pmh/</x:v>
      </x:c>
    </x:row>
    <x:row r="28" ht="38" customHeight="1">
      <x:c r="A28" s="3" t="str">
        <x:f>'Landscape'!A82</x:f>
        <x:v>P077</x:v>
      </x:c>
      <x:c r="B28" s="3" t="str">
        <x:f>'Landscape'!B82</x:f>
        <x:v>H5P content format and libraries</x:v>
      </x:c>
      <x:c r="C28" s="3" t="str">
        <x:f>'Landscape'!F82</x:f>
        <x:v>Global</x:v>
      </x:c>
      <x:c r="D28" s="3" t="str">
        <x:f>'Landscape'!D82</x:f>
        <x:v>Portable interactive learning content</x:v>
      </x:c>
      <x:c r="E28" s="3" t="str">
        <x:f>'Landscape'!H82</x:f>
        <x:v>Mature de facto format and platform ecosystem</x:v>
      </x:c>
      <x:c r="F28" s="3" t="str">
        <x:f>'Landscape'!K82</x:f>
        <x:v>H5P format; LTI integration available</x:v>
      </x:c>
      <x:c r="G28" s="3" t="str">
        <x:f>'Landscape'!L82</x:f>
        <x:v>Public de facto specification</x:v>
      </x:c>
      <x:c r="H28" s="3" t="str">
        <x:f>'Landscape'!M82</x:f>
        <x:v>Yes</x:v>
      </x:c>
      <x:c r="I28" s="3" t="str">
        <x:f>'Landscape'!R82</x:f>
        <x:v>Broad platform integration; no independent installed-base or learning-effect census.</x:v>
      </x:c>
      <x:c r="J28" s="3" t="str">
        <x:f>'Landscape'!W82</x:f>
        <x:v>Important de facto content format</x:v>
      </x:c>
      <x:c r="K28" s="3" t="str">
        <x:f>'Landscape'!U82</x:f>
        <x:v>Depends on host, LTI setup, analytics and content type</x:v>
      </x:c>
      <x:c r="L28" s="3" t="str">
        <x:f>'Landscape'!Y82</x:f>
        <x:v>https://h5p.org/documentation/developers/h5p-specification</x:v>
      </x:c>
    </x:row>
    <x:row r="29" ht="51" customHeight="1">
      <x:c r="A29" s="3" t="str">
        <x:f>'Landscape'!A83</x:f>
        <x:v>P078</x:v>
      </x:c>
      <x:c r="B29" s="3" t="str">
        <x:f>'Landscape'!B83</x:f>
        <x:v>Sunbird + DIKSHA</x:v>
      </x:c>
      <x:c r="C29" s="3" t="str">
        <x:f>'Landscape'!F83</x:f>
        <x:v>Asia</x:v>
      </x:c>
      <x:c r="D29" s="3" t="str">
        <x:f>'Landscape'!D83</x:f>
        <x:v>Modular education digital public infrastructure</x:v>
      </x:c>
      <x:c r="E29" s="3" t="str">
        <x:f>'Landscape'!H83</x:f>
        <x:v>Scaled national deployment; Sunbird verified DPG</x:v>
      </x:c>
      <x:c r="F29" s="3" t="str">
        <x:f>'Landscape'!K83</x:f>
        <x:v>Public APIs and modular building blocks; interoperability is platform-led</x:v>
      </x:c>
      <x:c r="G29" s="3" t="str">
        <x:f>'Landscape'!L83</x:f>
        <x:v>Yes / public APIs</x:v>
      </x:c>
      <x:c r="H29" s="3" t="str">
        <x:f>'Landscape'!M83</x:f>
        <x:v>Yes</x:v>
      </x:c>
      <x:c r="I29" s="3" t="str">
        <x:f>'Landscape'!R83</x:f>
        <x:v>Very large downloads/language support reported; active use and learning effects are not established by reach.</x:v>
      </x:c>
      <x:c r="J29" s="3" t="str">
        <x:f>'Landscape'!W83</x:f>
        <x:v>Major education DPI</x:v>
      </x:c>
      <x:c r="K29" s="3" t="str">
        <x:f>'Landscape'!U83</x:f>
        <x:v>Telemetry, content governance and state customisations require local review</x:v>
      </x:c>
      <x:c r="L29" s="3" t="str">
        <x:f>'Landscape'!Y83</x:f>
        <x:v>https://www.digitalpublicgoods.net/r/sunbird</x:v>
      </x:c>
    </x:row>
    <x:row r="30" ht="51" customHeight="1">
      <x:c r="A30" s="3" t="str">
        <x:f>'Landscape'!A84</x:f>
        <x:v>P079</x:v>
      </x:c>
      <x:c r="B30" s="3" t="str">
        <x:f>'Landscape'!B84</x:f>
        <x:v>Kolibri</x:v>
      </x:c>
      <x:c r="C30" s="3" t="str">
        <x:f>'Landscape'!F84</x:f>
        <x:v>Global</x:v>
      </x:c>
      <x:c r="D30" s="3" t="str">
        <x:f>'Landscape'!D84</x:f>
        <x:v>Offline-first open learning platform</x:v>
      </x:c>
      <x:c r="E30" s="3" t="str">
        <x:f>'Landscape'!H84</x:f>
        <x:v>Mature active platform; verified DPG</x:v>
      </x:c>
      <x:c r="F30" s="3" t="str">
        <x:f>'Landscape'!K84</x:f>
        <x:v>APIs and content-channel model; formal standards use varies</x:v>
      </x:c>
      <x:c r="G30" s="3" t="str">
        <x:f>'Landscape'!L84</x:f>
        <x:v>Public architecture</x:v>
      </x:c>
      <x:c r="H30" s="3" t="str">
        <x:f>'Landscape'!M84</x:f>
        <x:v>Yes</x:v>
      </x:c>
      <x:c r="I30" s="3" t="str">
        <x:f>'Landscape'!R84</x:f>
        <x:v>Very broad country/language reach reported; active learners and outcome evidence vary by deployment.</x:v>
      </x:c>
      <x:c r="J30" s="3" t="str">
        <x:f>'Landscape'!W84</x:f>
        <x:v>Leading inclusion-focused open platform</x:v>
      </x:c>
      <x:c r="K30" s="3" t="str">
        <x:f>'Landscape'!U84</x:f>
        <x:v>Local/offline operation can reduce exposure; deployment configuration still matters</x:v>
      </x:c>
      <x:c r="L30" s="3" t="str">
        <x:f>'Landscape'!Y84</x:f>
        <x:v>https://www.digitalpublicgoods.net/r/kolibri</x:v>
      </x:c>
    </x:row>
    <x:row r="31" ht="51" customHeight="1">
      <x:c r="A31" s="3" t="str">
        <x:f>'Landscape'!A85</x:f>
        <x:v>P080</x:v>
      </x:c>
      <x:c r="B31" s="3" t="str">
        <x:f>'Landscape'!B85</x:f>
        <x:v>DHIS2 for Education</x:v>
      </x:c>
      <x:c r="C31" s="3" t="str">
        <x:f>'Landscape'!F85</x:f>
        <x:v>Global</x:v>
      </x:c>
      <x:c r="D31" s="3" t="str">
        <x:f>'Landscape'!D85</x:f>
        <x:v>Education management information system</x:v>
      </x:c>
      <x:c r="E31" s="3" t="str">
        <x:f>'Landscape'!H85</x:f>
        <x:v>Active education extension of mature DPG platform</x:v>
      </x:c>
      <x:c r="F31" s="3" t="str">
        <x:f>'Landscape'!K85</x:f>
        <x:v>Configurable data models and APIs; cross-country schemas may diverge</x:v>
      </x:c>
      <x:c r="G31" s="3" t="str">
        <x:f>'Landscape'!L85</x:f>
        <x:v>Public documentation/APIs</x:v>
      </x:c>
      <x:c r="H31" s="3" t="str">
        <x:f>'Landscape'!M85</x:f>
        <x:v>Yes</x:v>
      </x:c>
      <x:c r="I31" s="3" t="str">
        <x:f>'Landscape'!R85</x:f>
        <x:v>Strong platform credibility; often-cited 80+ country scale refers mainly to DHIS2 overall, not education deployments.</x:v>
      </x:c>
      <x:c r="J31" s="3" t="str">
        <x:f>'Landscape'!W85</x:f>
        <x:v>Major open EMIS platform</x:v>
      </x:c>
      <x:c r="K31" s="3" t="str">
        <x:f>'Landscape'!U85</x:f>
        <x:v>Hosting, role design and student-level data are country responsibilities</x:v>
      </x:c>
      <x:c r="L31" s="3" t="str">
        <x:f>'Landscape'!Y85</x:f>
        <x:v>https://dhis2.org/education/</x:v>
      </x:c>
    </x:row>
    <x:row r="32" ht="51" customHeight="1">
      <x:c r="A32" s="3" t="str">
        <x:f>'Landscape'!A86</x:f>
        <x:v>P081</x:v>
      </x:c>
      <x:c r="B32" s="3" t="str">
        <x:f>'Landscape'!B86</x:f>
        <x:v>OpenEMIS</x:v>
      </x:c>
      <x:c r="C32" s="3" t="str">
        <x:f>'Landscape'!F86</x:f>
        <x:v>Global</x:v>
      </x:c>
      <x:c r="D32" s="3" t="str">
        <x:f>'Landscape'!D86</x:f>
        <x:v>Open education management information system</x:v>
      </x:c>
      <x:c r="E32" s="3" t="str">
        <x:f>'Landscape'!H86</x:f>
        <x:v>Operational; stewardship evolved since 2013</x:v>
      </x:c>
      <x:c r="F32" s="3" t="str">
        <x:f>'Landscape'!K86</x:f>
        <x:v>Documented APIs; configurable data model</x:v>
      </x:c>
      <x:c r="G32" s="3" t="str">
        <x:f>'Landscape'!L86</x:f>
        <x:v>Public documentation</x:v>
      </x:c>
      <x:c r="H32" s="3" t="str">
        <x:f>'Landscape'!M86</x:f>
        <x:v>Yes</x:v>
      </x:c>
      <x:c r="I32" s="3" t="str">
        <x:f>'Landscape'!R86</x:f>
        <x:v>Country case studies and a UNESCO external evaluation; current governance, freshness and support costs need verification.</x:v>
      </x:c>
      <x:c r="J32" s="3" t="str">
        <x:f>'Landscape'!W86</x:f>
        <x:v>Important open EMIS</x:v>
      </x:c>
      <x:c r="K32" s="3" t="str">
        <x:f>'Landscape'!U86</x:f>
        <x:v>National security, access controls and hosting are critical</x:v>
      </x:c>
      <x:c r="L32" s="3" t="str">
        <x:f>'Landscape'!Y86</x:f>
        <x:v>https://www.openemis.org/</x:v>
      </x:c>
    </x:row>
    <x:row r="33" ht="38" customHeight="1">
      <x:c r="A33" s="3" t="str">
        <x:f>'Landscape'!A87</x:f>
        <x:v>P082</x:v>
      </x:c>
      <x:c r="B33" s="3" t="str">
        <x:f>'Landscape'!B87</x:f>
        <x:v>National Schools Interoperability Program (NSIP)</x:v>
      </x:c>
      <x:c r="C33" s="3" t="str">
        <x:f>'Landscape'!F87</x:f>
        <x:v>Oceania</x:v>
      </x:c>
      <x:c r="D33" s="3" t="str">
        <x:f>'Landscape'!D87</x:f>
        <x:v>National standards adoption/governance</x:v>
      </x:c>
      <x:c r="E33" s="3" t="str">
        <x:f>'Landscape'!H87</x:f>
        <x:v>Mature national programme</x:v>
      </x:c>
      <x:c r="F33" s="3" t="str">
        <x:f>'Landscape'!K87</x:f>
        <x:v>Australian SIF profiles</x:v>
      </x:c>
      <x:c r="G33" s="3" t="str">
        <x:f>'Landscape'!L87</x:f>
        <x:v>Uses public SIF specifications</x:v>
      </x:c>
      <x:c r="H33" s="3" t="str">
        <x:f>'Landscape'!M87</x:f>
        <x:v>Yes</x:v>
      </x:c>
      <x:c r="I33" s="3" t="str">
        <x:f>'Landscape'!R87</x:f>
        <x:v>Ministerial endorsement and live national services; outcome metrics are thin.</x:v>
      </x:c>
      <x:c r="J33" s="3" t="str">
        <x:f>'Landscape'!W87</x:f>
        <x:v>National standards implementation case</x:v>
      </x:c>
      <x:c r="K33" s="3" t="str">
        <x:f>'Landscape'!U87</x:f>
        <x:v>Highly sensitive school data; service-level controls matter</x:v>
      </x:c>
      <x:c r="L33" s="3" t="str">
        <x:f>'Landscape'!Y87</x:f>
        <x:v>https://www.nsip.edu.au/about/</x:v>
      </x:c>
    </x:row>
    <x:row r="34" ht="51" customHeight="1">
      <x:c r="A34" s="3" t="str">
        <x:f>'Landscape'!A88</x:f>
        <x:v>P083</x:v>
      </x:c>
      <x:c r="B34" s="3" t="str">
        <x:f>'Landscape'!B88</x:f>
        <x:v>OOAPI + Edu-V</x:v>
      </x:c>
      <x:c r="C34" s="3" t="str">
        <x:f>'Landscape'!F88</x:f>
        <x:v>Europe</x:v>
      </x:c>
      <x:c r="D34" s="3" t="str">
        <x:f>'Landscape'!D88</x:f>
        <x:v>Dutch education data and trust ecosystem</x:v>
      </x:c>
      <x:c r="E34" s="3" t="str">
        <x:f>'Landscape'!H88</x:f>
        <x:v>OOAPI v6 active; Edu-V adoption evolving</x:v>
      </x:c>
      <x:c r="F34" s="3" t="str">
        <x:f>'Landscape'!K88</x:f>
        <x:v>Open Education API / OpenAPI; Edu-V agreements</x:v>
      </x:c>
      <x:c r="G34" s="3" t="str">
        <x:f>'Landscape'!L88</x:f>
        <x:v>Yes</x:v>
      </x:c>
      <x:c r="H34" s="3" t="str">
        <x:f>'Landscape'!M88</x:f>
        <x:v>Yes</x:v>
      </x:c>
      <x:c r="I34" s="3" t="str">
        <x:f>'Landscape'!R88</x:f>
        <x:v>Named operational institutional users; public scale evidence is incomplete and often Dutch-language.</x:v>
      </x:c>
      <x:c r="J34" s="3" t="str">
        <x:f>'Landscape'!W88</x:f>
        <x:v>Strong national open-standard ecosystem</x:v>
      </x:c>
      <x:c r="K34" s="3" t="str">
        <x:f>'Landscape'!U88</x:f>
        <x:v>Edu-V explicitly integrates legal/privacy arrangements</x:v>
      </x:c>
      <x:c r="L34" s="3" t="str">
        <x:f>'Landscape'!Y88</x:f>
        <x:v>https://www.surf.nl/en/open-education-api</x:v>
      </x:c>
    </x:row>
    <x:row r="35" ht="38" customHeight="1">
      <x:c r="A35" s="3" t="str">
        <x:f>'Landscape'!A89</x:f>
        <x:v>P084</x:v>
      </x:c>
      <x:c r="B35" s="3" t="str">
        <x:f>'Landscape'!B89</x:f>
        <x:v>Finland KOSKI + ePerusteet/eRequirements</x:v>
      </x:c>
      <x:c r="C35" s="3" t="str">
        <x:f>'Landscape'!F89</x:f>
        <x:v>Europe</x:v>
      </x:c>
      <x:c r="D35" s="3" t="str">
        <x:f>'Landscape'!D89</x:f>
        <x:v>National learning records and curriculum data</x:v>
      </x:c>
      <x:c r="E35" s="3" t="str">
        <x:f>'Landscape'!H89</x:f>
        <x:v>Mature operational infrastructure</x:v>
      </x:c>
      <x:c r="F35" s="3" t="str">
        <x:f>'Landscape'!K89</x:f>
        <x:v>Public national APIs/data models</x:v>
      </x:c>
      <x:c r="G35" s="3" t="str">
        <x:f>'Landscape'!L89</x:f>
        <x:v>Yes / public technical documentation</x:v>
      </x:c>
      <x:c r="H35" s="3" t="str">
        <x:f>'Landscape'!M89</x:f>
        <x:v>Yes</x:v>
      </x:c>
      <x:c r="I35" s="3" t="str">
        <x:f>'Landscape'!R89</x:f>
        <x:v>National coverage across major education sectors since 2018.</x:v>
      </x:c>
      <x:c r="J35" s="3" t="str">
        <x:f>'Landscape'!W89</x:f>
        <x:v>Mature sovereign infrastructure</x:v>
      </x:c>
      <x:c r="K35" s="3" t="str">
        <x:f>'Landscape'!U89</x:f>
        <x:v>Personal records are role-controlled; open code is not open learner data</x:v>
      </x:c>
      <x:c r="L35" s="3" t="str">
        <x:f>'Landscape'!Y89</x:f>
        <x:v>https://github.com/Opetushallitus/koski</x:v>
      </x:c>
    </x:row>
    <x:row r="36" ht="51" customHeight="1">
      <x:c r="A36" s="3" t="str">
        <x:f>'Landscape'!A90</x:f>
        <x:v>P085</x:v>
      </x:c>
      <x:c r="B36" s="3" t="str">
        <x:f>'Landscape'!B90</x:f>
        <x:v>Grep — Norway’s open curriculum data</x:v>
      </x:c>
      <x:c r="C36" s="3" t="str">
        <x:f>'Landscape'!F90</x:f>
        <x:v>Europe</x:v>
      </x:c>
      <x:c r="D36" s="3" t="str">
        <x:f>'Landscape'!D90</x:f>
        <x:v>Authoritative curriculum data API</x:v>
      </x:c>
      <x:c r="E36" s="3" t="str">
        <x:f>'Landscape'!H90</x:f>
        <x:v>Mature operational public data</x:v>
      </x:c>
      <x:c r="F36" s="3" t="str">
        <x:f>'Landscape'!K90</x:f>
        <x:v>National curriculum schemas and identifiers</x:v>
      </x:c>
      <x:c r="G36" s="3" t="str">
        <x:f>'Landscape'!L90</x:f>
        <x:v>Yes / public API</x:v>
      </x:c>
      <x:c r="H36" s="3" t="str">
        <x:f>'Landscape'!M90</x:f>
        <x:v>N/A</x:v>
      </x:c>
      <x:c r="I36" s="3" t="str">
        <x:f>'Landscape'!R90</x:f>
        <x:v>National authority and continuous publication are strong; downstream reuse metrics are limited.</x:v>
      </x:c>
      <x:c r="J36" s="3" t="str">
        <x:f>'Landscape'!W90</x:f>
        <x:v>High-value AI-ready public curriculum</x:v>
      </x:c>
      <x:c r="K36" s="3" t="str">
        <x:f>'Landscape'!U90</x:f>
        <x:v>No learner records; low personal-data risk</x:v>
      </x:c>
      <x:c r="L36" s="3" t="str">
        <x:f>'Landscape'!Y90</x:f>
        <x:v>https://www.udir.no/om-udir/data/</x:v>
      </x:c>
    </x:row>
    <x:row r="37" ht="38" customHeight="1">
      <x:c r="A37" s="3" t="str">
        <x:f>'Landscape'!A91</x:f>
        <x:v>P086</x:v>
      </x:c>
      <x:c r="B37" s="3" t="str">
        <x:f>'Landscape'!B91</x:f>
        <x:v>England CBDS + Common Transfer File</x:v>
      </x:c>
      <x:c r="C37" s="3" t="str">
        <x:f>'Landscape'!F91</x:f>
        <x:v>Europe</x:v>
      </x:c>
      <x:c r="D37" s="3" t="str">
        <x:f>'Landscape'!D91</x:f>
        <x:v>National school data definitions and transfer</x:v>
      </x:c>
      <x:c r="E37" s="3" t="str">
        <x:f>'Landscape'!H91</x:f>
        <x:v>Operational; CBDS updated May 2026, CTF 26 from Sep 2026</x:v>
      </x:c>
      <x:c r="F37" s="3" t="str">
        <x:f>'Landscape'!K91</x:f>
        <x:v>CBDS and CTF XML specifications</x:v>
      </x:c>
      <x:c r="G37" s="3" t="str">
        <x:f>'Landscape'!L91</x:f>
        <x:v>Public government specifications</x:v>
      </x:c>
      <x:c r="H37" s="3" t="str">
        <x:f>'Landscape'!M91</x:f>
        <x:v>N/A</x:v>
      </x:c>
      <x:c r="I37" s="3" t="str">
        <x:f>'Landscape'!R91</x:f>
        <x:v>National operational requirement is strong adoption evidence.</x:v>
      </x:c>
      <x:c r="J37" s="3" t="str">
        <x:f>'Landscape'!W91</x:f>
        <x:v>National operational standard</x:v>
      </x:c>
      <x:c r="K37" s="3" t="str">
        <x:f>'Landscape'!U91</x:f>
        <x:v>Transfers contain highly sensitive pupil data</x:v>
      </x:c>
      <x:c r="L37" s="3" t="str">
        <x:f>'Landscape'!Y91</x:f>
        <x:v>https://www.gov.uk/government/publications/common-basic-data-set-cbds-database</x:v>
      </x:c>
    </x:row>
    <x:row r="38" ht="38" customHeight="1">
      <x:c r="A38" s="3" t="str">
        <x:f>'Landscape'!A92</x:f>
        <x:v>P087</x:v>
      </x:c>
      <x:c r="B38" s="3" t="str">
        <x:f>'Landscape'!B92</x:f>
        <x:v>SDMX framework for education statistics</x:v>
      </x:c>
      <x:c r="C38" s="3" t="str">
        <x:f>'Landscape'!F92</x:f>
        <x:v>Global</x:v>
      </x:c>
      <x:c r="D38" s="3" t="str">
        <x:f>'Landscape'!D92</x:f>
        <x:v>Aggregate education-statistics exchange</x:v>
      </x:c>
      <x:c r="E38" s="3" t="str">
        <x:f>'Landscape'!H92</x:f>
        <x:v>Active conceptual/data-collection framework; former UIS SDMX API retired</x:v>
      </x:c>
      <x:c r="F38" s="3" t="str">
        <x:f>'Landscape'!K92</x:f>
        <x:v>SDMX and UOE education data structures</x:v>
      </x:c>
      <x:c r="G38" s="3" t="str">
        <x:f>'Landscape'!L92</x:f>
        <x:v>Yes / public standard resources</x:v>
      </x:c>
      <x:c r="H38" s="3" t="str">
        <x:f>'Landscape'!M92</x:f>
        <x:v>No / unclear</x:v>
      </x:c>
      <x:c r="I38" s="3" t="str">
        <x:f>'Landscape'!R92</x:f>
        <x:v>Used in joint international collection; former UIS public SDMX API ended in 2020.</x:v>
      </x:c>
      <x:c r="J38" s="3" t="str">
        <x:f>'Landscape'!W92</x:f>
        <x:v>Foundational statistics standard</x:v>
      </x:c>
      <x:c r="K38" s="3" t="str">
        <x:f>'Landscape'!U92</x:f>
        <x:v>Aggregate statistics reduce personal-data exposure</x:v>
      </x:c>
      <x:c r="L38" s="3" t="str">
        <x:f>'Landscape'!Y92</x:f>
        <x:v>https://sdmx.org/sdmx-for-education/</x:v>
      </x:c>
    </x:row>
    <x:row r="39" ht="51" customHeight="1">
      <x:c r="A39" s="3" t="str">
        <x:f>'Landscape'!A93</x:f>
        <x:v>P088</x:v>
      </x:c>
      <x:c r="B39" s="3" t="str">
        <x:f>'Landscape'!B93</x:f>
        <x:v>Gateways to Public Digital Learning + 2026 Charter</x:v>
      </x:c>
      <x:c r="C39" s="3" t="str">
        <x:f>'Landscape'!F93</x:f>
        <x:v>Global</x:v>
      </x:c>
      <x:c r="D39" s="3" t="str">
        <x:f>'Landscape'!D93</x:f>
        <x:v>Global public-platform cooperation and norms</x:v>
      </x:c>
      <x:c r="E39" s="3" t="str">
        <x:f>'Landscape'!H93</x:f>
        <x:v>Active programme; Charter launched March 2026</x:v>
      </x:c>
      <x:c r="F39" s="3" t="str">
        <x:f>'Landscape'!K93</x:f>
        <x:v>Normative public digital learning principles; not one technical protocol</x:v>
      </x:c>
      <x:c r="G39" s="3" t="str">
        <x:f>'Landscape'!L93</x:f>
        <x:v>Public normative framework</x:v>
      </x:c>
      <x:c r="H39" s="3" t="str">
        <x:f>'Landscape'!M93</x:f>
        <x:v>N/A</x:v>
      </x:c>
      <x:c r="I39" s="3" t="str">
        <x:f>'Landscape'!R93</x:f>
        <x:v>Strong intergovernmental coordination; country platform quality and learning outcomes vary.</x:v>
      </x:c>
      <x:c r="J39" s="3" t="str">
        <x:f>'Landscape'!W93</x:f>
        <x:v>Global public-good anchor</x:v>
      </x:c>
      <x:c r="K39" s="3" t="str">
        <x:f>'Landscape'!U93</x:f>
        <x:v>Charter includes rights/trust principles; assurance remains implementation-specific</x:v>
      </x:c>
      <x:c r="L39" s="3" t="str">
        <x:f>'Landscape'!Y93</x:f>
        <x:v>https://www.unesco.org/en/digital-education/learning-platforms-gateway</x:v>
      </x:c>
    </x:row>
    <x:row r="40" ht="51" customHeight="1">
      <x:c r="A40" s="3" t="str">
        <x:f>'Landscape'!A94</x:f>
        <x:v>P089</x:v>
      </x:c>
      <x:c r="B40" s="3" t="str">
        <x:f>'Landscape'!B94</x:f>
        <x:v>OERSI — Open Educational Resources Search Index</x:v>
      </x:c>
      <x:c r="C40" s="3" t="str">
        <x:f>'Landscape'!F94</x:f>
        <x:v>Europe</x:v>
      </x:c>
      <x:c r="D40" s="3" t="str">
        <x:f>'Landscape'!D94</x:f>
        <x:v>Federated OER metadata/search</x:v>
      </x:c>
      <x:c r="E40" s="3" t="str">
        <x:f>'Landscape'!H94</x:f>
        <x:v>Active operational service</x:v>
      </x:c>
      <x:c r="F40" s="3" t="str">
        <x:f>'Landscape'!K94</x:f>
        <x:v>Metadata mappings, APIs and repository harvesting</x:v>
      </x:c>
      <x:c r="G40" s="3" t="str">
        <x:f>'Landscape'!L94</x:f>
        <x:v>Yes / public API</x:v>
      </x:c>
      <x:c r="H40" s="3" t="str">
        <x:f>'Landscape'!M94</x:f>
        <x:v>Yes</x:v>
      </x:c>
      <x:c r="I40" s="3" t="str">
        <x:f>'Landscape'!R94</x:f>
        <x:v>Live service and integrations demonstrate function; independent reach/learning impact evidence is limited.</x:v>
      </x:c>
      <x:c r="J40" s="3" t="str">
        <x:f>'Landscape'!W94</x:f>
        <x:v>Strong OER infrastructure</x:v>
      </x:c>
      <x:c r="K40" s="3" t="str">
        <x:f>'Landscape'!U94</x:f>
        <x:v>Primarily public resource metadata</x:v>
      </x:c>
      <x:c r="L40" s="3" t="str">
        <x:f>'Landscape'!Y94</x:f>
        <x:v>https://oersi.org/pages/en/about/</x:v>
      </x:c>
    </x:row>
    <x:row r="41" ht="51" customHeight="1">
      <x:c r="A41" s="3" t="str">
        <x:f>'Landscape'!A95</x:f>
        <x:v>P090</x:v>
      </x:c>
      <x:c r="B41" s="3" t="str">
        <x:f>'Landscape'!B95</x:f>
        <x:v>Global Digital Library</x:v>
      </x:c>
      <x:c r="C41" s="3" t="str">
        <x:f>'Landscape'!F95</x:f>
        <x:v>Global</x:v>
      </x:c>
      <x:c r="D41" s="3" t="str">
        <x:f>'Landscape'!D95</x:f>
        <x:v>Multilingual open reading content</x:v>
      </x:c>
      <x:c r="E41" s="3" t="str">
        <x:f>'Landscape'!H95</x:f>
        <x:v>Active public platform</x:v>
      </x:c>
      <x:c r="F41" s="3" t="str">
        <x:f>'Landscape'!K95</x:f>
        <x:v>Portable digital content/metadata; formal protocol use not central</x:v>
      </x:c>
      <x:c r="G41" s="3" t="str">
        <x:f>'Landscape'!L95</x:f>
        <x:v>Partial</x:v>
      </x:c>
      <x:c r="H41" s="3" t="str">
        <x:f>'Landscape'!M95</x:f>
        <x:v>No / unclear</x:v>
      </x:c>
      <x:c r="I41" s="3" t="str">
        <x:f>'Landscape'!R95</x:f>
        <x:v>Large multilingual catalogue and public partnerships; direct learning-effect evidence varies by deployment.</x:v>
      </x:c>
      <x:c r="J41" s="3" t="str">
        <x:f>'Landscape'!W95</x:f>
        <x:v>Global OER public good</x:v>
      </x:c>
      <x:c r="K41" s="3" t="str">
        <x:f>'Landscape'!U95</x:f>
        <x:v>Low-risk content access; account/analytics details depend on implementation</x:v>
      </x:c>
      <x:c r="L41" s="3" t="str">
        <x:f>'Landscape'!Y95</x:f>
        <x:v>https://digitallibrary.io/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45ccc77056694a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12" hidden="0" customWidth="1"/>
    <x:col min="4" max="4" width="46" hidden="0" customWidth="1"/>
    <x:col min="5" max="5" width="68" hidden="0" customWidth="1"/>
    <x:col min="6" max="6" width="46" hidden="0" customWidth="1"/>
    <x:col min="7" max="7" width="46" hidden="0" customWidth="1"/>
    <x:col min="8" max="8" width="46" hidden="0" customWidth="1"/>
    <x:col min="9" max="9" width="15" hidden="0" customWidth="1"/>
    <x:col min="10" max="10" width="18" hidden="0" customWidth="1"/>
    <x:col min="11" max="11" width="38" hidden="0" customWidth="1"/>
  </x:cols>
  <x:sheetData>
    <x:row r="1" ht="38" customHeight="1">
      <x:c r="A1" s="5" t="str">
        <x:v>Project–source associations</x:v>
      </x:c>
      <x:c r="B1" s="5"/>
      <x:c r="C1" s="5"/>
      <x:c r="D1" s="5"/>
      <x:c r="E1" s="5"/>
      <x:c r="F1" s="5"/>
      <x:c r="G1" s="3"/>
      <x:c r="H1" s="3"/>
      <x:c r="I1" s="3"/>
    </x:row>
    <x:row r="2" ht="27" customHeight="1">
      <x:c r="A2" s="7" t="str">
        <x:v>191 associations / 186 distinct URLs. Source type identifies a role, not independent corroboration. NEU evidence hosted by Parliament remains affected-stakeholder evidence. Each source retains its scope and checked date.</x:v>
      </x:c>
      <x:c r="B2" s="7"/>
      <x:c r="C2" s="7"/>
      <x:c r="D2" s="7"/>
      <x:c r="E2" s="7"/>
      <x:c r="F2" s="7"/>
      <x:c r="G2" s="3"/>
      <x:c r="H2" s="3"/>
      <x:c r="I2" s="3"/>
    </x:row>
    <x:row r="3" ht="27" customHeight="1">
      <x:c r="A3" s="7"/>
      <x:c r="B3" s="7"/>
      <x:c r="C3" s="7"/>
      <x:c r="D3" s="7"/>
      <x:c r="E3" s="7"/>
      <x:c r="F3" s="7"/>
      <x:c r="G3" s="3"/>
      <x:c r="H3" s="3"/>
      <x:c r="I3" s="3"/>
    </x:row>
    <x:row r="4" ht="34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8" t="str">
        <x:v>Project</x:v>
      </x:c>
      <x:c r="B5" s="8" t="str">
        <x:v>Initiative</x:v>
      </x:c>
      <x:c r="C5" s="8" t="str">
        <x:v>Source number</x:v>
      </x:c>
      <x:c r="D5" s="8" t="str">
        <x:v>Type</x:v>
      </x:c>
      <x:c r="E5" s="8" t="str">
        <x:v>URL</x:v>
      </x:c>
      <x:c r="F5" s="8" t="str">
        <x:v>Primarily supports</x:v>
      </x:c>
      <x:c r="G5" s="8" t="str">
        <x:v>Lens</x:v>
      </x:c>
      <x:c r="H5" s="8" t="str">
        <x:v>Record confidence</x:v>
      </x:c>
      <x:c r="I5" s="8" t="str">
        <x:v>Checked</x:v>
      </x:c>
      <x:c r="J5" s="13" t="str">
        <x:v>First URL occurrence</x:v>
      </x:c>
      <x:c r="K5" s="13" t="str">
        <x:v>Original source type</x:v>
      </x:c>
    </x:row>
    <x:row r="6" ht="32" customHeight="1">
      <x:c r="A6" s="3" t="str">
        <x:v>P001</x:v>
      </x:c>
      <x:c r="B6" s="3" t="str">
        <x:v>UNESCO — AI and the Futures of Learning</x:v>
      </x:c>
      <x:c r="C6" s="3" t="n">
        <x:v>1</x:v>
      </x:c>
      <x:c r="D6" s="3" t="str">
        <x:v>Government / intergovernmental</x:v>
      </x:c>
      <x:c r="E6" s="3" t="str">
        <x:v>https://www.unesco.org/en/digital-education/ai-future-learning</x:v>
      </x:c>
      <x:c r="F6" s="3" t="str">
        <x:v>Status, purpose, outputs and/or stewardship</x:v>
      </x:c>
      <x:c r="G6" s="3" t="str">
        <x:v>AI × education</x:v>
      </x:c>
      <x:c r="H6" s="3" t="str">
        <x:v>High on outputs/status; medium on effects</x:v>
      </x:c>
      <x:c r="I6" s="9" t="n">
        <x:v>46268</x:v>
      </x:c>
      <x:c r="J6" s="11" t="n">
        <x:f>IF(COUNTIF($E$6:E6,E6)=1,1,0)</x:f>
        <x:v>1</x:v>
      </x:c>
      <x:c r="K6" s="11" t="str">
        <x:v>Government / intergovernmental</x:v>
      </x:c>
    </x:row>
    <x:row r="7" ht="38" customHeight="1">
      <x:c r="A7" s="3" t="str">
        <x:v>P001</x:v>
      </x:c>
      <x:c r="B7" s="3" t="str">
        <x:v>UNESCO — AI and the Futures of Learning</x:v>
      </x:c>
      <x:c r="C7" s="3" t="n">
        <x:v>2</x:v>
      </x:c>
      <x:c r="D7" s="3" t="str">
        <x:v>Government / intergovernmental</x:v>
      </x:c>
      <x:c r="E7" s="3" t="str">
        <x:v>https://www.unesco.org/en/articles/ai-competency-framework-students</x:v>
      </x:c>
      <x:c r="F7" s="3" t="str">
        <x:v>Technical, licence, evaluation or corroborating detail</x:v>
      </x:c>
      <x:c r="G7" s="3" t="str">
        <x:v>AI × education</x:v>
      </x:c>
      <x:c r="H7" s="3" t="str">
        <x:v>High on outputs/status; medium on effects</x:v>
      </x:c>
      <x:c r="I7" s="9" t="n">
        <x:v>46268</x:v>
      </x:c>
      <x:c r="J7" s="11" t="n">
        <x:f>IF(COUNTIF($E$6:E7,E7)=1,1,0)</x:f>
        <x:v>1</x:v>
      </x:c>
      <x:c r="K7" s="11" t="str">
        <x:v>Government / intergovernmental</x:v>
      </x:c>
    </x:row>
    <x:row r="8" ht="32" customHeight="1">
      <x:c r="A8" s="3" t="str">
        <x:v>P002</x:v>
      </x:c>
      <x:c r="B8" s="3" t="str">
        <x:v>Experience AI</x:v>
      </x:c>
      <x:c r="C8" s="3" t="n">
        <x:v>1</x:v>
      </x:c>
      <x:c r="D8" s="3" t="str">
        <x:v>Project / steward</x:v>
      </x:c>
      <x:c r="E8" s="3" t="str">
        <x:v>https://www.raspberrypi.org/blog/experience-ai-the-story-so-far/</x:v>
      </x:c>
      <x:c r="F8" s="3" t="str">
        <x:v>Status, purpose, outputs and/or stewardship</x:v>
      </x:c>
      <x:c r="G8" s="3" t="str">
        <x:v>AI × education</x:v>
      </x:c>
      <x:c r="H8" s="3" t="str">
        <x:v>High on existence; lower on effects</x:v>
      </x:c>
      <x:c r="I8" s="9" t="n">
        <x:v>46268</x:v>
      </x:c>
      <x:c r="J8" s="11" t="n">
        <x:f>IF(COUNTIF($E$6:E8,E8)=1,1,0)</x:f>
        <x:v>1</x:v>
      </x:c>
      <x:c r="K8" s="11" t="str">
        <x:v>Project / steward</x:v>
      </x:c>
    </x:row>
    <x:row r="9" ht="38" customHeight="1">
      <x:c r="A9" s="3" t="str">
        <x:v>P002</x:v>
      </x:c>
      <x:c r="B9" s="3" t="str">
        <x:v>Experience AI</x:v>
      </x:c>
      <x:c r="C9" s="3" t="n">
        <x:v>2</x:v>
      </x:c>
      <x:c r="D9" s="3" t="str">
        <x:v>Project / steward</x:v>
      </x:c>
      <x:c r="E9" s="3" t="str">
        <x:v>https://www.raspberrypi.org/blog/experience-ai-reaching-millions-of-young-people-with-ai-literacy/</x:v>
      </x:c>
      <x:c r="F9" s="3" t="str">
        <x:v>Technical, licence, evaluation or corroborating detail</x:v>
      </x:c>
      <x:c r="G9" s="3" t="str">
        <x:v>AI × education</x:v>
      </x:c>
      <x:c r="H9" s="3" t="str">
        <x:v>High on existence; lower on effects</x:v>
      </x:c>
      <x:c r="I9" s="9" t="n">
        <x:v>46268</x:v>
      </x:c>
      <x:c r="J9" s="11" t="n">
        <x:f>IF(COUNTIF($E$6:E9,E9)=1,1,0)</x:f>
        <x:v>1</x:v>
      </x:c>
      <x:c r="K9" s="11" t="str">
        <x:v>Project / steward</x:v>
      </x:c>
    </x:row>
    <x:row r="10" ht="38" customHeight="1">
      <x:c r="A10" s="3" t="str">
        <x:v>P003</x:v>
      </x:c>
      <x:c r="B10" s="3" t="str">
        <x:v>Day of AI</x:v>
      </x:c>
      <x:c r="C10" s="3" t="n">
        <x:v>1</x:v>
      </x:c>
      <x:c r="D10" s="3" t="str">
        <x:v>Project / steward</x:v>
      </x:c>
      <x:c r="E10" s="3" t="str">
        <x:v>https://dayofai.org/</x:v>
      </x:c>
      <x:c r="F10" s="3" t="str">
        <x:v>Status, purpose, outputs and/or stewardship</x:v>
      </x:c>
      <x:c r="G10" s="3" t="str">
        <x:v>AI × education</x:v>
      </x:c>
      <x:c r="H10" s="3" t="str">
        <x:v>High on programme; medium on reach; low on effects/licence</x:v>
      </x:c>
      <x:c r="I10" s="9" t="n">
        <x:v>46268</x:v>
      </x:c>
      <x:c r="J10" s="11" t="n">
        <x:f>IF(COUNTIF($E$6:E10,E10)=1,1,0)</x:f>
        <x:v>1</x:v>
      </x:c>
      <x:c r="K10" s="11" t="str">
        <x:v>Project / steward</x:v>
      </x:c>
    </x:row>
    <x:row r="11" ht="38" customHeight="1">
      <x:c r="A11" s="3" t="str">
        <x:v>P003</x:v>
      </x:c>
      <x:c r="B11" s="3" t="str">
        <x:v>Day of AI</x:v>
      </x:c>
      <x:c r="C11" s="3" t="n">
        <x:v>2</x:v>
      </x:c>
      <x:c r="D11" s="3" t="str">
        <x:v>Project / steward</x:v>
      </x:c>
      <x:c r="E11" s="3" t="str">
        <x:v>https://dayofai.org/about-us</x:v>
      </x:c>
      <x:c r="F11" s="3" t="str">
        <x:v>Technical, licence, evaluation or corroborating detail</x:v>
      </x:c>
      <x:c r="G11" s="3" t="str">
        <x:v>AI × education</x:v>
      </x:c>
      <x:c r="H11" s="3" t="str">
        <x:v>High on programme; medium on reach; low on effects/licence</x:v>
      </x:c>
      <x:c r="I11" s="9" t="n">
        <x:v>46268</x:v>
      </x:c>
      <x:c r="J11" s="11" t="n">
        <x:f>IF(COUNTIF($E$6:E11,E11)=1,1,0)</x:f>
        <x:v>1</x:v>
      </x:c>
      <x:c r="K11" s="11" t="str">
        <x:v>Project / steward</x:v>
      </x:c>
    </x:row>
    <x:row r="12" ht="51" customHeight="1">
      <x:c r="A12" s="3" t="str">
        <x:v>P004</x:v>
      </x:c>
      <x:c r="B12" s="3" t="str">
        <x:v>AI4T — Artificial Intelligence for and by Teachers</x:v>
      </x:c>
      <x:c r="C12" s="3" t="n">
        <x:v>1</x:v>
      </x:c>
      <x:c r="D12" s="3" t="str">
        <x:v>Project / steward</x:v>
      </x:c>
      <x:c r="E12" s="3" t="str">
        <x:v>https://www.france-education-international.fr/en/expertises/cooperation-education/projets/ai4t-artificial-intelligence-and-teachers?langue=en</x:v>
      </x:c>
      <x:c r="F12" s="3" t="str">
        <x:v>Status, purpose, outputs and/or stewardship</x:v>
      </x:c>
      <x:c r="G12" s="3" t="str">
        <x:v>AI × education</x:v>
      </x:c>
      <x:c r="H12" s="3" t="str">
        <x:v>High; medium on exact counts</x:v>
      </x:c>
      <x:c r="I12" s="9" t="n">
        <x:v>46268</x:v>
      </x:c>
      <x:c r="J12" s="11" t="n">
        <x:f>IF(COUNTIF($E$6:E12,E12)=1,1,0)</x:f>
        <x:v>1</x:v>
      </x:c>
      <x:c r="K12" s="11" t="str">
        <x:v>Project / steward</x:v>
      </x:c>
    </x:row>
    <x:row r="13" ht="38" customHeight="1">
      <x:c r="A13" s="3" t="str">
        <x:v>P004</x:v>
      </x:c>
      <x:c r="B13" s="3" t="str">
        <x:v>AI4T — Artificial Intelligence for and by Teachers</x:v>
      </x:c>
      <x:c r="C13" s="3" t="n">
        <x:v>2</x:v>
      </x:c>
      <x:c r="D13" s="3" t="str">
        <x:v>Research / evaluation</x:v>
      </x:c>
      <x:c r="E13" s="3" t="str">
        <x:v>https://hal.science/hal-04557981v1/file/AI4T_WP3_D3.3_Comparative%20European%20Evaluation%20Report.pdf</x:v>
      </x:c>
      <x:c r="F13" s="3" t="str">
        <x:v>Technical, licence, evaluation or corroborating detail</x:v>
      </x:c>
      <x:c r="G13" s="3" t="str">
        <x:v>AI × education</x:v>
      </x:c>
      <x:c r="H13" s="3" t="str">
        <x:v>High; medium on exact counts</x:v>
      </x:c>
      <x:c r="I13" s="9" t="n">
        <x:v>46268</x:v>
      </x:c>
      <x:c r="J13" s="11" t="n">
        <x:f>IF(COUNTIF($E$6:E13,E13)=1,1,0)</x:f>
        <x:v>1</x:v>
      </x:c>
      <x:c r="K13" s="11" t="str">
        <x:v>Research / evaluation</x:v>
      </x:c>
    </x:row>
    <x:row r="14" ht="32" customHeight="1">
      <x:c r="A14" s="3" t="str">
        <x:v>P005</x:v>
      </x:c>
      <x:c r="B14" s="3" t="str">
        <x:v>NOLAI — National Education Lab AI</x:v>
      </x:c>
      <x:c r="C14" s="3" t="n">
        <x:v>1</x:v>
      </x:c>
      <x:c r="D14" s="3" t="str">
        <x:v>Project / steward</x:v>
      </x:c>
      <x:c r="E14" s="3" t="str">
        <x:v>https://www.ru.nl/en/nolai</x:v>
      </x:c>
      <x:c r="F14" s="3" t="str">
        <x:v>Status, purpose, outputs and/or stewardship</x:v>
      </x:c>
      <x:c r="G14" s="3" t="str">
        <x:v>AI × education</x:v>
      </x:c>
      <x:c r="H14" s="3" t="str">
        <x:v>High on existence; lower on effects</x:v>
      </x:c>
      <x:c r="I14" s="9" t="n">
        <x:v>46268</x:v>
      </x:c>
      <x:c r="J14" s="11" t="n">
        <x:f>IF(COUNTIF($E$6:E14,E14)=1,1,0)</x:f>
        <x:v>1</x:v>
      </x:c>
      <x:c r="K14" s="11" t="str">
        <x:v>Project / steward</x:v>
      </x:c>
    </x:row>
    <x:row r="15" ht="38" customHeight="1">
      <x:c r="A15" s="3" t="str">
        <x:v>P005</x:v>
      </x:c>
      <x:c r="B15" s="3" t="str">
        <x:v>NOLAI — National Education Lab AI</x:v>
      </x:c>
      <x:c r="C15" s="3" t="n">
        <x:v>2</x:v>
      </x:c>
      <x:c r="D15" s="3" t="str">
        <x:v>Government / intergovernmental</x:v>
      </x:c>
      <x:c r="E15" s="3" t="str">
        <x:v>https://reforms-investments.ec.europa.eu/projects/national-education-lab-ai_en</x:v>
      </x:c>
      <x:c r="F15" s="3" t="str">
        <x:v>Technical, licence, evaluation or corroborating detail</x:v>
      </x:c>
      <x:c r="G15" s="3" t="str">
        <x:v>AI × education</x:v>
      </x:c>
      <x:c r="H15" s="3" t="str">
        <x:v>High on existence; lower on effects</x:v>
      </x:c>
      <x:c r="I15" s="9" t="n">
        <x:v>46268</x:v>
      </x:c>
      <x:c r="J15" s="11" t="n">
        <x:f>IF(COUNTIF($E$6:E15,E15)=1,1,0)</x:f>
        <x:v>1</x:v>
      </x:c>
      <x:c r="K15" s="11" t="str">
        <x:v>Government / intergovernmental</x:v>
      </x:c>
    </x:row>
    <x:row r="16" ht="38" customHeight="1">
      <x:c r="A16" s="3" t="str">
        <x:v>P006</x:v>
      </x:c>
      <x:c r="B16" s="3" t="str">
        <x:v>P2IA — Partenariat d’innovation intelligence artificielle</x:v>
      </x:c>
      <x:c r="C16" s="3" t="n">
        <x:v>1</x:v>
      </x:c>
      <x:c r="D16" s="3" t="str">
        <x:v>Project / steward</x:v>
      </x:c>
      <x:c r="E16" s="3" t="str">
        <x:v>https://www.education.gouv.fr/le-numerique-au-service-de-l-ecole-de-la-confiance-468410</x:v>
      </x:c>
      <x:c r="F16" s="3" t="str">
        <x:v>Status, purpose, outputs and/or stewardship</x:v>
      </x:c>
      <x:c r="G16" s="3" t="str">
        <x:v>AI × education</x:v>
      </x:c>
      <x:c r="H16" s="3" t="str">
        <x:v>High on existence; lower on effects</x:v>
      </x:c>
      <x:c r="I16" s="9" t="n">
        <x:v>46268</x:v>
      </x:c>
      <x:c r="J16" s="11" t="n">
        <x:f>IF(COUNTIF($E$6:E16,E16)=1,1,0)</x:f>
        <x:v>1</x:v>
      </x:c>
      <x:c r="K16" s="11" t="str">
        <x:v>Project / steward</x:v>
      </x:c>
    </x:row>
    <x:row r="17" ht="51" customHeight="1">
      <x:c r="A17" s="3" t="str">
        <x:v>P006</x:v>
      </x:c>
      <x:c r="B17" s="3" t="str">
        <x:v>P2IA — Partenariat d’innovation intelligence artificielle</x:v>
      </x:c>
      <x:c r="C17" s="3" t="n">
        <x:v>2</x:v>
      </x:c>
      <x:c r="D17" s="3" t="str">
        <x:v>Project / steward</x:v>
      </x:c>
      <x:c r="E17" s="3" t="str">
        <x:v>https://eduscol.education.gouv.fr/6714/l-intelligence-artificielle-pour-accompagner-les-apprentissages-des-fondamentaux-au-cycle-2</x:v>
      </x:c>
      <x:c r="F17" s="3" t="str">
        <x:v>Technical, licence, evaluation or corroborating detail</x:v>
      </x:c>
      <x:c r="G17" s="3" t="str">
        <x:v>AI × education</x:v>
      </x:c>
      <x:c r="H17" s="3" t="str">
        <x:v>High on existence; lower on effects</x:v>
      </x:c>
      <x:c r="I17" s="9" t="n">
        <x:v>46268</x:v>
      </x:c>
      <x:c r="J17" s="11" t="n">
        <x:f>IF(COUNTIF($E$6:E17,E17)=1,1,0)</x:f>
        <x:v>1</x:v>
      </x:c>
      <x:c r="K17" s="11" t="str">
        <x:v>Project / steward</x:v>
      </x:c>
    </x:row>
    <x:row r="18" ht="38" customHeight="1">
      <x:c r="A18" s="3" t="str">
        <x:v>P007</x:v>
      </x:c>
      <x:c r="B18" s="3" t="str">
        <x:v>M.I.A. Seconde</x:v>
      </x:c>
      <x:c r="C18" s="3" t="n">
        <x:v>1</x:v>
      </x:c>
      <x:c r="D18" s="3" t="str">
        <x:v>Project / steward</x:v>
      </x:c>
      <x:c r="E18" s="3" t="str">
        <x:v>https://eduscol.education.gouv.fr/6693/mia-seconde-une-approche-personnalisee-de-la-remediation-en-francais-et-en-mathematiques</x:v>
      </x:c>
      <x:c r="F18" s="3" t="str">
        <x:v>Status, purpose, outputs and/or stewardship</x:v>
      </x:c>
      <x:c r="G18" s="3" t="str">
        <x:v>AI × education</x:v>
      </x:c>
      <x:c r="H18" s="3" t="str">
        <x:v>High on product/scale; medium on design; low on outcomes</x:v>
      </x:c>
      <x:c r="I18" s="9" t="n">
        <x:v>46268</x:v>
      </x:c>
      <x:c r="J18" s="11" t="n">
        <x:f>IF(COUNTIF($E$6:E18,E18)=1,1,0)</x:f>
        <x:v>1</x:v>
      </x:c>
      <x:c r="K18" s="11" t="str">
        <x:v>Project / steward</x:v>
      </x:c>
    </x:row>
    <x:row r="19" ht="64" customHeight="1">
      <x:c r="A19" s="3" t="str">
        <x:v>P007</x:v>
      </x:c>
      <x:c r="B19" s="3" t="str">
        <x:v>M.I.A. Seconde</x:v>
      </x:c>
      <x:c r="C19" s="3" t="n">
        <x:v>2</x:v>
      </x:c>
      <x:c r="D19" s="3" t="str">
        <x:v>Project / steward</x:v>
      </x:c>
      <x:c r="E19" s="3" t="str">
        <x:v>https://archives-statistiques-depp.education.gouv.fr/digitalCollection/DigitalCollectionAttachmentDownloadHandler.ashx?documentId=57216&amp;parentDocumentId=50460&amp;skipCopyright=true&amp;skipWatermark=true</x:v>
      </x:c>
      <x:c r="F19" s="3" t="str">
        <x:v>Technical, licence, evaluation or corroborating detail</x:v>
      </x:c>
      <x:c r="G19" s="3" t="str">
        <x:v>AI × education</x:v>
      </x:c>
      <x:c r="H19" s="3" t="str">
        <x:v>High on product/scale; medium on design; low on outcomes</x:v>
      </x:c>
      <x:c r="I19" s="9" t="n">
        <x:v>46268</x:v>
      </x:c>
      <x:c r="J19" s="11" t="n">
        <x:f>IF(COUNTIF($E$6:E19,E19)=1,1,0)</x:f>
        <x:v>1</x:v>
      </x:c>
      <x:c r="K19" s="11" t="str">
        <x:v>Project / steward</x:v>
      </x:c>
    </x:row>
    <x:row r="20" ht="38" customHeight="1">
      <x:c r="A20" s="3" t="str">
        <x:v>P008</x:v>
      </x:c>
      <x:c r="B20" s="3" t="str">
        <x:v>AI Leap / TI-Hüpe</x:v>
      </x:c>
      <x:c r="C20" s="3" t="n">
        <x:v>1</x:v>
      </x:c>
      <x:c r="D20" s="3" t="str">
        <x:v>Project / steward</x:v>
      </x:c>
      <x:c r="E20" s="3" t="str">
        <x:v>https://www.hm.ee/en/news/estonia-announces-groundbreaking-national-initiative-ai-leap-programme-bring-ai-tools-all</x:v>
      </x:c>
      <x:c r="F20" s="3" t="str">
        <x:v>Status, purpose, outputs and/or stewardship</x:v>
      </x:c>
      <x:c r="G20" s="3" t="str">
        <x:v>AI × education</x:v>
      </x:c>
      <x:c r="H20" s="3" t="str">
        <x:v>High on existence; lower on effects</x:v>
      </x:c>
      <x:c r="I20" s="9" t="n">
        <x:v>46268</x:v>
      </x:c>
      <x:c r="J20" s="11" t="n">
        <x:f>IF(COUNTIF($E$6:E20,E20)=1,1,0)</x:f>
        <x:v>1</x:v>
      </x:c>
      <x:c r="K20" s="11" t="str">
        <x:v>Project / steward</x:v>
      </x:c>
    </x:row>
    <x:row r="21" ht="38" customHeight="1">
      <x:c r="A21" s="3" t="str">
        <x:v>P008</x:v>
      </x:c>
      <x:c r="B21" s="3" t="str">
        <x:v>AI Leap / TI-Hüpe</x:v>
      </x:c>
      <x:c r="C21" s="3" t="n">
        <x:v>2</x:v>
      </x:c>
      <x:c r="D21" s="3" t="str">
        <x:v>Project / steward</x:v>
      </x:c>
      <x:c r="E21" s="3" t="str">
        <x:v>https://tihupe.ee/en/</x:v>
      </x:c>
      <x:c r="F21" s="3" t="str">
        <x:v>Technical, licence, evaluation or corroborating detail</x:v>
      </x:c>
      <x:c r="G21" s="3" t="str">
        <x:v>AI × education</x:v>
      </x:c>
      <x:c r="H21" s="3" t="str">
        <x:v>High on existence; lower on effects</x:v>
      </x:c>
      <x:c r="I21" s="9" t="n">
        <x:v>46268</x:v>
      </x:c>
      <x:c r="J21" s="11" t="n">
        <x:f>IF(COUNTIF($E$6:E21,E21)=1,1,0)</x:f>
        <x:v>1</x:v>
      </x:c>
      <x:c r="K21" s="11" t="str">
        <x:v>Project / steward</x:v>
      </x:c>
    </x:row>
    <x:row r="22" ht="38" customHeight="1">
      <x:c r="A22" s="3" t="str">
        <x:v>P009</x:v>
      </x:c>
      <x:c r="B22" s="3" t="str">
        <x:v>Singapore Student Learning Space AI / Adaptive Learning System</x:v>
      </x:c>
      <x:c r="C22" s="3" t="n">
        <x:v>1</x:v>
      </x:c>
      <x:c r="D22" s="3" t="str">
        <x:v>Government / intergovernmental</x:v>
      </x:c>
      <x:c r="E22" s="3" t="str">
        <x:v>https://www.moe.gov.sg/education-in-sg/educational-technology-journey/edtech-masterplan/artificial-intelligence-in-education</x:v>
      </x:c>
      <x:c r="F22" s="3" t="str">
        <x:v>Status, purpose, outputs and/or stewardship</x:v>
      </x:c>
      <x:c r="G22" s="3" t="str">
        <x:v>AI × education</x:v>
      </x:c>
      <x:c r="H22" s="3" t="str">
        <x:v>High on existence; lower on effects</x:v>
      </x:c>
      <x:c r="I22" s="9" t="n">
        <x:v>46268</x:v>
      </x:c>
      <x:c r="J22" s="11" t="n">
        <x:f>IF(COUNTIF($E$6:E22,E22)=1,1,0)</x:f>
        <x:v>1</x:v>
      </x:c>
      <x:c r="K22" s="11" t="str">
        <x:v>Government / intergovernmental</x:v>
      </x:c>
    </x:row>
    <x:row r="23" ht="38" customHeight="1">
      <x:c r="A23" s="3" t="str">
        <x:v>P009</x:v>
      </x:c>
      <x:c r="B23" s="3" t="str">
        <x:v>Singapore Student Learning Space AI / Adaptive Learning System</x:v>
      </x:c>
      <x:c r="C23" s="3" t="n">
        <x:v>2</x:v>
      </x:c>
      <x:c r="D23" s="3" t="str">
        <x:v>Government / intergovernmental</x:v>
      </x:c>
      <x:c r="E23" s="3" t="str">
        <x:v>https://www.moe.gov.sg/news/press-releases/20230920-more-support-for-schools-and-students-to-shape-the-future-of-learning</x:v>
      </x:c>
      <x:c r="F23" s="3" t="str">
        <x:v>Technical, licence, evaluation or corroborating detail</x:v>
      </x:c>
      <x:c r="G23" s="3" t="str">
        <x:v>AI × education</x:v>
      </x:c>
      <x:c r="H23" s="3" t="str">
        <x:v>High on existence; lower on effects</x:v>
      </x:c>
      <x:c r="I23" s="9" t="n">
        <x:v>46268</x:v>
      </x:c>
      <x:c r="J23" s="11" t="n">
        <x:f>IF(COUNTIF($E$6:E23,E23)=1,1,0)</x:f>
        <x:v>1</x:v>
      </x:c>
      <x:c r="K23" s="11" t="str">
        <x:v>Government / intergovernmental</x:v>
      </x:c>
    </x:row>
    <x:row r="24" ht="38" customHeight="1">
      <x:c r="A24" s="3" t="str">
        <x:v>P010</x:v>
      </x:c>
      <x:c r="B24" s="3" t="str">
        <x:v>Shiksha Copilot</x:v>
      </x:c>
      <x:c r="C24" s="3" t="n">
        <x:v>1</x:v>
      </x:c>
      <x:c r="D24" s="3" t="str">
        <x:v>Repository</x:v>
      </x:c>
      <x:c r="E24" s="3" t="str">
        <x:v>https://github.com/microsoft/Shiksha-Copilot</x:v>
      </x:c>
      <x:c r="F24" s="3" t="str">
        <x:v>Status, purpose, outputs and/or stewardship</x:v>
      </x:c>
      <x:c r="G24" s="3" t="str">
        <x:v>AI × education × open</x:v>
      </x:c>
      <x:c r="H24" s="3" t="str">
        <x:v>High on implementation; medium on practice effects</x:v>
      </x:c>
      <x:c r="I24" s="9" t="n">
        <x:v>46268</x:v>
      </x:c>
      <x:c r="J24" s="11" t="n">
        <x:f>IF(COUNTIF($E$6:E24,E24)=1,1,0)</x:f>
        <x:v>1</x:v>
      </x:c>
      <x:c r="K24" s="11" t="str">
        <x:v>Repository</x:v>
      </x:c>
    </x:row>
    <x:row r="25" ht="51" customHeight="1">
      <x:c r="A25" s="3" t="str">
        <x:v>P010</x:v>
      </x:c>
      <x:c r="B25" s="3" t="str">
        <x:v>Shiksha Copilot</x:v>
      </x:c>
      <x:c r="C25" s="3" t="n">
        <x:v>2</x:v>
      </x:c>
      <x:c r="D25" s="3" t="str">
        <x:v>Project / steward</x:v>
      </x:c>
      <x:c r="E25" s="3" t="str">
        <x:v>https://www.microsoft.com/en-us/research/publication/teacher-ai-collaboration-for-curating-and-customizing-lesson-plans-in-low-resource-schools/</x:v>
      </x:c>
      <x:c r="F25" s="3" t="str">
        <x:v>Technical, licence, evaluation or corroborating detail</x:v>
      </x:c>
      <x:c r="G25" s="3" t="str">
        <x:v>AI × education × open</x:v>
      </x:c>
      <x:c r="H25" s="3" t="str">
        <x:v>High on implementation; medium on practice effects</x:v>
      </x:c>
      <x:c r="I25" s="9" t="n">
        <x:v>46268</x:v>
      </x:c>
      <x:c r="J25" s="11" t="n">
        <x:f>IF(COUNTIF($E$6:E25,E25)=1,1,0)</x:f>
        <x:v>1</x:v>
      </x:c>
      <x:c r="K25" s="11" t="str">
        <x:v>Project / steward</x:v>
      </x:c>
    </x:row>
    <x:row r="26" ht="32" customHeight="1">
      <x:c r="A26" s="3" t="str">
        <x:v>P011</x:v>
      </x:c>
      <x:c r="B26" s="3" t="str">
        <x:v>Mindspark</x:v>
      </x:c>
      <x:c r="C26" s="3" t="n">
        <x:v>1</x:v>
      </x:c>
      <x:c r="D26" s="3" t="str">
        <x:v>Research / evaluation</x:v>
      </x:c>
      <x:c r="E26" s="3" t="str">
        <x:v>https://www.aeaweb.org/articles?id=10.1257%2Faer.20171112</x:v>
      </x:c>
      <x:c r="F26" s="3" t="str">
        <x:v>Status, purpose, outputs and/or stewardship</x:v>
      </x:c>
      <x:c r="G26" s="3" t="str">
        <x:v>AI × education</x:v>
      </x:c>
      <x:c r="H26" s="3" t="str">
        <x:v>High</x:v>
      </x:c>
      <x:c r="I26" s="9" t="n">
        <x:v>46268</x:v>
      </x:c>
      <x:c r="J26" s="11" t="n">
        <x:f>IF(COUNTIF($E$6:E26,E26)=1,1,0)</x:f>
        <x:v>1</x:v>
      </x:c>
      <x:c r="K26" s="11" t="str">
        <x:v>Research / evaluation</x:v>
      </x:c>
    </x:row>
    <x:row r="27" ht="38" customHeight="1">
      <x:c r="A27" s="3" t="str">
        <x:v>P011</x:v>
      </x:c>
      <x:c r="B27" s="3" t="str">
        <x:v>Mindspark</x:v>
      </x:c>
      <x:c r="C27" s="3" t="n">
        <x:v>2</x:v>
      </x:c>
      <x:c r="D27" s="3" t="str">
        <x:v>Research / evaluation synthesis</x:v>
      </x:c>
      <x:c r="E27" s="3" t="str">
        <x:v>https://www.povertyactionlab.org/evaluation/disrupting-education-evidence-technology-aided-instruction-india</x:v>
      </x:c>
      <x:c r="F27" s="3" t="str">
        <x:v>Technical, licence, evaluation or corroborating detail</x:v>
      </x:c>
      <x:c r="G27" s="3" t="str">
        <x:v>AI × education</x:v>
      </x:c>
      <x:c r="H27" s="3" t="str">
        <x:v>High</x:v>
      </x:c>
      <x:c r="I27" s="9" t="n">
        <x:v>46268</x:v>
      </x:c>
      <x:c r="J27" s="11" t="n">
        <x:f>IF(COUNTIF($E$6:E27,E27)=1,1,0)</x:f>
        <x:v>1</x:v>
      </x:c>
      <x:c r="K27" s="11" t="str">
        <x:v>Project / steward</x:v>
      </x:c>
    </x:row>
    <x:row r="28" ht="38" customHeight="1">
      <x:c r="A28" s="3" t="str">
        <x:v>P012</x:v>
      </x:c>
      <x:c r="B28" s="3" t="str">
        <x:v>AI Digital Textbooks</x:v>
      </x:c>
      <x:c r="C28" s="3" t="n">
        <x:v>1</x:v>
      </x:c>
      <x:c r="D28" s="3" t="str">
        <x:v>Project / steward</x:v>
      </x:c>
      <x:c r="E28" s="3" t="str">
        <x:v>https://english.moe.go.kr/boardCnts/viewRenewal.do?boardID=265&amp;boardSeq=102075&amp;lev=0&amp;m=0201&amp;opType=N&amp;page=1&amp;s=english</x:v>
      </x:c>
      <x:c r="F28" s="3" t="str">
        <x:v>Status, purpose, outputs and/or stewardship</x:v>
      </x:c>
      <x:c r="G28" s="3" t="str">
        <x:v>AI × education</x:v>
      </x:c>
      <x:c r="H28" s="3" t="str">
        <x:v>High on chronology; medium on current uptake</x:v>
      </x:c>
      <x:c r="I28" s="9" t="n">
        <x:v>46268</x:v>
      </x:c>
      <x:c r="J28" s="11" t="n">
        <x:f>IF(COUNTIF($E$6:E28,E28)=1,1,0)</x:f>
        <x:v>1</x:v>
      </x:c>
      <x:c r="K28" s="11" t="str">
        <x:v>Project / steward</x:v>
      </x:c>
    </x:row>
    <x:row r="29" ht="38" customHeight="1">
      <x:c r="A29" s="3" t="str">
        <x:v>P012</x:v>
      </x:c>
      <x:c r="B29" s="3" t="str">
        <x:v>AI Digital Textbooks</x:v>
      </x:c>
      <x:c r="C29" s="3" t="n">
        <x:v>2</x:v>
      </x:c>
      <x:c r="D29" s="3" t="str">
        <x:v>Independent media</x:v>
      </x:c>
      <x:c r="E29" s="3" t="str">
        <x:v>https://www.koreaherald.com/article/10546695</x:v>
      </x:c>
      <x:c r="F29" s="3" t="str">
        <x:v>Technical, licence, evaluation or corroborating detail</x:v>
      </x:c>
      <x:c r="G29" s="3" t="str">
        <x:v>AI × education</x:v>
      </x:c>
      <x:c r="H29" s="3" t="str">
        <x:v>High on chronology; medium on current uptake</x:v>
      </x:c>
      <x:c r="I29" s="9" t="n">
        <x:v>46268</x:v>
      </x:c>
      <x:c r="J29" s="11" t="n">
        <x:f>IF(COUNTIF($E$6:E29,E29)=1,1,0)</x:f>
        <x:v>1</x:v>
      </x:c>
      <x:c r="K29" s="11" t="str">
        <x:v>Project / steward</x:v>
      </x:c>
    </x:row>
    <x:row r="30" ht="32" customHeight="1">
      <x:c r="A30" s="3" t="str">
        <x:v>P013</x:v>
      </x:c>
      <x:c r="B30" s="3" t="str">
        <x:v>MEXT Generative AI Pilot Schools</x:v>
      </x:c>
      <x:c r="C30" s="3" t="n">
        <x:v>1</x:v>
      </x:c>
      <x:c r="D30" s="3" t="str">
        <x:v>Government / intergovernmental</x:v>
      </x:c>
      <x:c r="E30" s="3" t="str">
        <x:v>https://www.mext.go.jp/a_menu/other/mext_02412.html</x:v>
      </x:c>
      <x:c r="F30" s="3" t="str">
        <x:v>Status, purpose, outputs and/or stewardship</x:v>
      </x:c>
      <x:c r="G30" s="3" t="str">
        <x:v>AI × education</x:v>
      </x:c>
      <x:c r="H30" s="3" t="str">
        <x:v>High on existence; lower on effects</x:v>
      </x:c>
      <x:c r="I30" s="9" t="n">
        <x:v>46268</x:v>
      </x:c>
      <x:c r="J30" s="11" t="n">
        <x:f>IF(COUNTIF($E$6:E30,E30)=1,1,0)</x:f>
        <x:v>1</x:v>
      </x:c>
      <x:c r="K30" s="11" t="str">
        <x:v>Government / intergovernmental</x:v>
      </x:c>
    </x:row>
    <x:row r="31" ht="38" customHeight="1">
      <x:c r="A31" s="3" t="str">
        <x:v>P014</x:v>
      </x:c>
      <x:c r="B31" s="3" t="str">
        <x:v>Cool English / CoolE Bot</x:v>
      </x:c>
      <x:c r="C31" s="3" t="n">
        <x:v>1</x:v>
      </x:c>
      <x:c r="D31" s="3" t="str">
        <x:v>Government / intergovernmental</x:v>
      </x:c>
      <x:c r="E31" s="3" t="str">
        <x:v>https://www.k12ea.gov.tw/En/News/NewsDetail?filter=7821A902-03A9-43A3-AE37-3E172B0A2A92&amp;id=e812d506-bfe4-4dd9-89ff-88cb408a28a1</x:v>
      </x:c>
      <x:c r="F31" s="3" t="str">
        <x:v>Status, purpose, outputs and/or stewardship</x:v>
      </x:c>
      <x:c r="G31" s="3" t="str">
        <x:v>AI × education</x:v>
      </x:c>
      <x:c r="H31" s="3" t="str">
        <x:v>High on existence; lower on effects</x:v>
      </x:c>
      <x:c r="I31" s="9" t="n">
        <x:v>46268</x:v>
      </x:c>
      <x:c r="J31" s="11" t="n">
        <x:f>IF(COUNTIF($E$6:E31,E31)=1,1,0)</x:f>
        <x:v>1</x:v>
      </x:c>
      <x:c r="K31" s="11" t="str">
        <x:v>Government / intergovernmental</x:v>
      </x:c>
    </x:row>
    <x:row r="32" ht="38" customHeight="1">
      <x:c r="A32" s="3" t="str">
        <x:v>P014</x:v>
      </x:c>
      <x:c r="B32" s="3" t="str">
        <x:v>Cool English / CoolE Bot</x:v>
      </x:c>
      <x:c r="C32" s="3" t="n">
        <x:v>2</x:v>
      </x:c>
      <x:c r="D32" s="3" t="str">
        <x:v>Project / steward</x:v>
      </x:c>
      <x:c r="E32" s="3" t="str">
        <x:v>https://www.coolenglish.edu.tw/event/aboutus/index.php?lang=en</x:v>
      </x:c>
      <x:c r="F32" s="3" t="str">
        <x:v>Technical, licence, evaluation or corroborating detail</x:v>
      </x:c>
      <x:c r="G32" s="3" t="str">
        <x:v>AI × education</x:v>
      </x:c>
      <x:c r="H32" s="3" t="str">
        <x:v>High on existence; lower on effects</x:v>
      </x:c>
      <x:c r="I32" s="9" t="n">
        <x:v>46268</x:v>
      </x:c>
      <x:c r="J32" s="11" t="n">
        <x:f>IF(COUNTIF($E$6:E32,E32)=1,1,0)</x:f>
        <x:v>1</x:v>
      </x:c>
      <x:c r="K32" s="11" t="str">
        <x:v>Project / steward</x:v>
      </x:c>
    </x:row>
    <x:row r="33" ht="32" customHeight="1">
      <x:c r="A33" s="3" t="str">
        <x:v>P015</x:v>
      </x:c>
      <x:c r="B33" s="3" t="str">
        <x:v>Rori AI Math Tutor</x:v>
      </x:c>
      <x:c r="C33" s="3" t="n">
        <x:v>1</x:v>
      </x:c>
      <x:c r="D33" s="3" t="str">
        <x:v>Research / evaluation</x:v>
      </x:c>
      <x:c r="E33" s="3" t="str">
        <x:v>https://arxiv.org/abs/2402.09809</x:v>
      </x:c>
      <x:c r="F33" s="3" t="str">
        <x:v>Status, purpose, outputs and/or stewardship</x:v>
      </x:c>
      <x:c r="G33" s="3" t="str">
        <x:v>AI × education</x:v>
      </x:c>
      <x:c r="H33" s="3" t="str">
        <x:v>High on study; medium on generalisability</x:v>
      </x:c>
      <x:c r="I33" s="9" t="n">
        <x:v>46268</x:v>
      </x:c>
      <x:c r="J33" s="11" t="n">
        <x:f>IF(COUNTIF($E$6:E33,E33)=1,1,0)</x:f>
        <x:v>1</x:v>
      </x:c>
      <x:c r="K33" s="11" t="str">
        <x:v>Research / evaluation</x:v>
      </x:c>
    </x:row>
    <x:row r="34" ht="38" customHeight="1">
      <x:c r="A34" s="3" t="str">
        <x:v>P015</x:v>
      </x:c>
      <x:c r="B34" s="3" t="str">
        <x:v>Rori AI Math Tutor</x:v>
      </x:c>
      <x:c r="C34" s="3" t="n">
        <x:v>2</x:v>
      </x:c>
      <x:c r="D34" s="3" t="str">
        <x:v>Project / steward</x:v>
      </x:c>
      <x:c r="E34" s="3" t="str">
        <x:v>https://rori.ai/</x:v>
      </x:c>
      <x:c r="F34" s="3" t="str">
        <x:v>Technical, licence, evaluation or corroborating detail</x:v>
      </x:c>
      <x:c r="G34" s="3" t="str">
        <x:v>AI × education</x:v>
      </x:c>
      <x:c r="H34" s="3" t="str">
        <x:v>High on study; medium on generalisability</x:v>
      </x:c>
      <x:c r="I34" s="9" t="n">
        <x:v>46268</x:v>
      </x:c>
      <x:c r="J34" s="11" t="n">
        <x:f>IF(COUNTIF($E$6:E34,E34)=1,1,0)</x:f>
        <x:v>1</x:v>
      </x:c>
      <x:c r="K34" s="11" t="str">
        <x:v>Project / steward</x:v>
      </x:c>
    </x:row>
    <x:row r="35" ht="38" customHeight="1">
      <x:c r="A35" s="3" t="str">
        <x:v>P016</x:v>
      </x:c>
      <x:c r="B35" s="3" t="str">
        <x:v>EduAI Hub — Innovation Research Network for AI for Education</x:v>
      </x:c>
      <x:c r="C35" s="3" t="n">
        <x:v>1</x:v>
      </x:c>
      <x:c r="D35" s="3" t="str">
        <x:v>Project / steward</x:v>
      </x:c>
      <x:c r="E35" s="3" t="str">
        <x:v>https://www.ai4d.ai/projects/innovation-research-network-for-ai-for-education-eduai-hub</x:v>
      </x:c>
      <x:c r="F35" s="3" t="str">
        <x:v>Status, purpose, outputs and/or stewardship</x:v>
      </x:c>
      <x:c r="G35" s="3" t="str">
        <x:v>AI × education</x:v>
      </x:c>
      <x:c r="H35" s="3" t="str">
        <x:v>High on existence; medium-low on current status/results</x:v>
      </x:c>
      <x:c r="I35" s="9" t="n">
        <x:v>46268</x:v>
      </x:c>
      <x:c r="J35" s="11" t="n">
        <x:f>IF(COUNTIF($E$6:E35,E35)=1,1,0)</x:f>
        <x:v>1</x:v>
      </x:c>
      <x:c r="K35" s="11" t="str">
        <x:v>Project / steward</x:v>
      </x:c>
    </x:row>
    <x:row r="36" ht="38" customHeight="1">
      <x:c r="A36" s="3" t="str">
        <x:v>P016</x:v>
      </x:c>
      <x:c r="B36" s="3" t="str">
        <x:v>EduAI Hub — Innovation Research Network for AI for Education</x:v>
      </x:c>
      <x:c r="C36" s="3" t="n">
        <x:v>2</x:v>
      </x:c>
      <x:c r="D36" s="3" t="str">
        <x:v>Project / steward</x:v>
      </x:c>
      <x:c r="E36" s="3" t="str">
        <x:v>https://idrc-crdi.ca/en/research-in-action/commitment-action-advancing-use-ai-education-africa</x:v>
      </x:c>
      <x:c r="F36" s="3" t="str">
        <x:v>Technical, licence, evaluation or corroborating detail</x:v>
      </x:c>
      <x:c r="G36" s="3" t="str">
        <x:v>AI × education</x:v>
      </x:c>
      <x:c r="H36" s="3" t="str">
        <x:v>High on existence; medium-low on current status/results</x:v>
      </x:c>
      <x:c r="I36" s="9" t="n">
        <x:v>46268</x:v>
      </x:c>
      <x:c r="J36" s="11" t="n">
        <x:f>IF(COUNTIF($E$6:E36,E36)=1,1,0)</x:f>
        <x:v>1</x:v>
      </x:c>
      <x:c r="K36" s="11" t="str">
        <x:v>Project / steward</x:v>
      </x:c>
    </x:row>
    <x:row r="37" ht="38" customHeight="1">
      <x:c r="A37" s="3" t="str">
        <x:v>P017</x:v>
      </x:c>
      <x:c r="B37" s="3" t="str">
        <x:v>STEPS — STEM Teacher and Student Education for Primary Schools</x:v>
      </x:c>
      <x:c r="C37" s="3" t="n">
        <x:v>1</x:v>
      </x:c>
      <x:c r="D37" s="3" t="str">
        <x:v>Project / steward</x:v>
      </x:c>
      <x:c r="E37" s="3" t="str">
        <x:v>https://www.gpekix.org/project/science-technology-engineering-and-mathematics-stem-teacher-and-student-education-primary</x:v>
      </x:c>
      <x:c r="F37" s="3" t="str">
        <x:v>Status, purpose, outputs and/or stewardship</x:v>
      </x:c>
      <x:c r="G37" s="3" t="str">
        <x:v>AI × education × open</x:v>
      </x:c>
      <x:c r="H37" s="3" t="str">
        <x:v>High on existence; lower on effects</x:v>
      </x:c>
      <x:c r="I37" s="9" t="n">
        <x:v>46268</x:v>
      </x:c>
      <x:c r="J37" s="11" t="n">
        <x:f>IF(COUNTIF($E$6:E37,E37)=1,1,0)</x:f>
        <x:v>1</x:v>
      </x:c>
      <x:c r="K37" s="11" t="str">
        <x:v>Project / steward</x:v>
      </x:c>
    </x:row>
    <x:row r="38" ht="38" customHeight="1">
      <x:c r="A38" s="3" t="str">
        <x:v>P017</x:v>
      </x:c>
      <x:c r="B38" s="3" t="str">
        <x:v>STEPS — STEM Teacher and Student Education for Primary Schools</x:v>
      </x:c>
      <x:c r="C38" s="3" t="n">
        <x:v>2</x:v>
      </x:c>
      <x:c r="D38" s="3" t="str">
        <x:v>Project / steward</x:v>
      </x:c>
      <x:c r="E38" s="3" t="str">
        <x:v>https://www.gpekix.org/blog/leveraging-artificial-intelligence-and-open-educational-resources-equitable-stem-education</x:v>
      </x:c>
      <x:c r="F38" s="3" t="str">
        <x:v>Technical, licence, evaluation or corroborating detail</x:v>
      </x:c>
      <x:c r="G38" s="3" t="str">
        <x:v>AI × education × open</x:v>
      </x:c>
      <x:c r="H38" s="3" t="str">
        <x:v>High on existence; lower on effects</x:v>
      </x:c>
      <x:c r="I38" s="9" t="n">
        <x:v>46268</x:v>
      </x:c>
      <x:c r="J38" s="11" t="n">
        <x:f>IF(COUNTIF($E$6:E38,E38)=1,1,0)</x:f>
        <x:v>1</x:v>
      </x:c>
      <x:c r="K38" s="11" t="str">
        <x:v>Project / steward</x:v>
      </x:c>
    </x:row>
    <x:row r="39" ht="51" customHeight="1">
      <x:c r="A39" s="3" t="str">
        <x:v>P018</x:v>
      </x:c>
      <x:c r="B39" s="3" t="str">
        <x:v>EduIA Lab</x:v>
      </x:c>
      <x:c r="C39" s="3" t="n">
        <x:v>1</x:v>
      </x:c>
      <x:c r="D39" s="3" t="str">
        <x:v>Project / steward</x:v>
      </x:c>
      <x:c r="E39" s="3" t="str">
        <x:v>https://www.gub.uy/presidencia/comunicacion/noticias/ceibal-presento-eduia-lab-primer-laboratorio-regional-inteligencia-artificial</x:v>
      </x:c>
      <x:c r="F39" s="3" t="str">
        <x:v>Status, purpose, outputs and/or stewardship</x:v>
      </x:c>
      <x:c r="G39" s="3" t="str">
        <x:v>AI × education</x:v>
      </x:c>
      <x:c r="H39" s="3" t="str">
        <x:v>High on existence; lower on effects</x:v>
      </x:c>
      <x:c r="I39" s="9" t="n">
        <x:v>46268</x:v>
      </x:c>
      <x:c r="J39" s="11" t="n">
        <x:f>IF(COUNTIF($E$6:E39,E39)=1,1,0)</x:f>
        <x:v>1</x:v>
      </x:c>
      <x:c r="K39" s="11" t="str">
        <x:v>Project / steward</x:v>
      </x:c>
    </x:row>
    <x:row r="40" ht="38" customHeight="1">
      <x:c r="A40" s="3" t="str">
        <x:v>P018</x:v>
      </x:c>
      <x:c r="B40" s="3" t="str">
        <x:v>EduIA Lab</x:v>
      </x:c>
      <x:c r="C40" s="3" t="n">
        <x:v>2</x:v>
      </x:c>
      <x:c r="D40" s="3" t="str">
        <x:v>Project / steward</x:v>
      </x:c>
      <x:c r="E40" s="3" t="str">
        <x:v>https://ceibal.edu.uy/institucional/eduia/proyectos/</x:v>
      </x:c>
      <x:c r="F40" s="3" t="str">
        <x:v>Technical, licence, evaluation or corroborating detail</x:v>
      </x:c>
      <x:c r="G40" s="3" t="str">
        <x:v>AI × education</x:v>
      </x:c>
      <x:c r="H40" s="3" t="str">
        <x:v>High on existence; lower on effects</x:v>
      </x:c>
      <x:c r="I40" s="9" t="n">
        <x:v>46268</x:v>
      </x:c>
      <x:c r="J40" s="11" t="n">
        <x:f>IF(COUNTIF($E$6:E40,E40)=1,1,0)</x:f>
        <x:v>1</x:v>
      </x:c>
      <x:c r="K40" s="11" t="str">
        <x:v>Project / steward</x:v>
      </x:c>
    </x:row>
    <x:row r="41" ht="38" customHeight="1">
      <x:c r="A41" s="3" t="str">
        <x:v>P019</x:v>
      </x:c>
      <x:c r="B41" s="3" t="str">
        <x:v>Letrus Writing Skills Program</x:v>
      </x:c>
      <x:c r="C41" s="3" t="n">
        <x:v>1</x:v>
      </x:c>
      <x:c r="D41" s="3" t="str">
        <x:v>Research / evaluation synthesis</x:v>
      </x:c>
      <x:c r="E41" s="3" t="str">
        <x:v>https://www.povertyactionlab.org/case-study/artificial-intelligence-strengthen-high-school-students-writing-skills</x:v>
      </x:c>
      <x:c r="F41" s="3" t="str">
        <x:v>Status, purpose, outputs and/or stewardship</x:v>
      </x:c>
      <x:c r="G41" s="3" t="str">
        <x:v>AI × education</x:v>
      </x:c>
      <x:c r="H41" s="3" t="str">
        <x:v>High on trial; medium on current scale</x:v>
      </x:c>
      <x:c r="I41" s="9" t="n">
        <x:v>46268</x:v>
      </x:c>
      <x:c r="J41" s="11" t="n">
        <x:f>IF(COUNTIF($E$6:E41,E41)=1,1,0)</x:f>
        <x:v>1</x:v>
      </x:c>
      <x:c r="K41" s="11" t="str">
        <x:v>Project / steward</x:v>
      </x:c>
    </x:row>
    <x:row r="42" ht="38" customHeight="1">
      <x:c r="A42" s="3" t="str">
        <x:v>P019</x:v>
      </x:c>
      <x:c r="B42" s="3" t="str">
        <x:v>Letrus Writing Skills Program</x:v>
      </x:c>
      <x:c r="C42" s="3" t="n">
        <x:v>2</x:v>
      </x:c>
      <x:c r="D42" s="3" t="str">
        <x:v>Government / intergovernmental</x:v>
      </x:c>
      <x:c r="E42" s="3" t="str">
        <x:v>https://www.unesco.org/en/articles/brazil-programme-awarded-unesco-prize-using-ai-improve-writing-skills</x:v>
      </x:c>
      <x:c r="F42" s="3" t="str">
        <x:v>Technical, licence, evaluation or corroborating detail</x:v>
      </x:c>
      <x:c r="G42" s="3" t="str">
        <x:v>AI × education</x:v>
      </x:c>
      <x:c r="H42" s="3" t="str">
        <x:v>High on trial; medium on current scale</x:v>
      </x:c>
      <x:c r="I42" s="9" t="n">
        <x:v>46268</x:v>
      </x:c>
      <x:c r="J42" s="11" t="n">
        <x:f>IF(COUNTIF($E$6:E42,E42)=1,1,0)</x:f>
        <x:v>1</x:v>
      </x:c>
      <x:c r="K42" s="11" t="str">
        <x:v>Government / intergovernmental</x:v>
      </x:c>
    </x:row>
    <x:row r="43" ht="38" customHeight="1">
      <x:c r="A43" s="3" t="str">
        <x:v>P020</x:v>
      </x:c>
      <x:c r="B43" s="3" t="str">
        <x:v>Alef Platform</x:v>
      </x:c>
      <x:c r="C43" s="3" t="n">
        <x:v>1</x:v>
      </x:c>
      <x:c r="D43" s="3" t="str">
        <x:v>Government / intergovernmental</x:v>
      </x:c>
      <x:c r="E43" s="3" t="str">
        <x:v>https://moe.gov.ae/en/mediacenter/news/Pages/AlefPlatforminallUAEPublic.aspx</x:v>
      </x:c>
      <x:c r="F43" s="3" t="str">
        <x:v>Status, purpose, outputs and/or stewardship</x:v>
      </x:c>
      <x:c r="G43" s="3" t="str">
        <x:v>AI × education</x:v>
      </x:c>
      <x:c r="H43" s="3" t="str">
        <x:v>High on existence; lower on effects</x:v>
      </x:c>
      <x:c r="I43" s="9" t="n">
        <x:v>46268</x:v>
      </x:c>
      <x:c r="J43" s="11" t="n">
        <x:f>IF(COUNTIF($E$6:E43,E43)=1,1,0)</x:f>
        <x:v>1</x:v>
      </x:c>
      <x:c r="K43" s="11" t="str">
        <x:v>Government / intergovernmental</x:v>
      </x:c>
    </x:row>
    <x:row r="44" ht="38" customHeight="1">
      <x:c r="A44" s="3" t="str">
        <x:v>P020</x:v>
      </x:c>
      <x:c r="B44" s="3" t="str">
        <x:v>Alef Platform</x:v>
      </x:c>
      <x:c r="C44" s="3" t="n">
        <x:v>2</x:v>
      </x:c>
      <x:c r="D44" s="3" t="str">
        <x:v>Project / steward</x:v>
      </x:c>
      <x:c r="E44" s="3" t="str">
        <x:v>https://www.alefeducation.com/products/artificial-intelligence</x:v>
      </x:c>
      <x:c r="F44" s="3" t="str">
        <x:v>Technical, licence, evaluation or corroborating detail</x:v>
      </x:c>
      <x:c r="G44" s="3" t="str">
        <x:v>AI × education</x:v>
      </x:c>
      <x:c r="H44" s="3" t="str">
        <x:v>High on existence; lower on effects</x:v>
      </x:c>
      <x:c r="I44" s="9" t="n">
        <x:v>46268</x:v>
      </x:c>
      <x:c r="J44" s="11" t="n">
        <x:f>IF(COUNTIF($E$6:E44,E44)=1,1,0)</x:f>
        <x:v>1</x:v>
      </x:c>
      <x:c r="K44" s="11" t="str">
        <x:v>Project / steward</x:v>
      </x:c>
    </x:row>
    <x:row r="45" ht="38" customHeight="1">
      <x:c r="A45" s="3" t="str">
        <x:v>P021</x:v>
      </x:c>
      <x:c r="B45" s="3" t="str">
        <x:v>Siraj</x:v>
      </x:c>
      <x:c r="C45" s="3" t="n">
        <x:v>1</x:v>
      </x:c>
      <x:c r="D45" s="3" t="str">
        <x:v>Government / intergovernmental</x:v>
      </x:c>
      <x:c r="E45" s="3" t="str">
        <x:v>https://petra.gov.jo/en/news/266000-students%C2%A0joined-siraj-learning-platform-education-ministry%C2%A0</x:v>
      </x:c>
      <x:c r="F45" s="3" t="str">
        <x:v>Status, purpose, outputs and/or stewardship</x:v>
      </x:c>
      <x:c r="G45" s="3" t="str">
        <x:v>AI × education</x:v>
      </x:c>
      <x:c r="H45" s="3" t="str">
        <x:v>High on existence; lower on effects</x:v>
      </x:c>
      <x:c r="I45" s="9" t="n">
        <x:v>46268</x:v>
      </x:c>
      <x:c r="J45" s="11" t="n">
        <x:f>IF(COUNTIF($E$6:E45,E45)=1,1,0)</x:f>
        <x:v>1</x:v>
      </x:c>
      <x:c r="K45" s="11" t="str">
        <x:v>Government / intergovernmental</x:v>
      </x:c>
    </x:row>
    <x:row r="46" ht="38" customHeight="1">
      <x:c r="A46" s="3" t="str">
        <x:v>P021</x:v>
      </x:c>
      <x:c r="B46" s="3" t="str">
        <x:v>Siraj</x:v>
      </x:c>
      <x:c r="C46" s="3" t="n">
        <x:v>2</x:v>
      </x:c>
      <x:c r="D46" s="3" t="str">
        <x:v>Government / intergovernmental</x:v>
      </x:c>
      <x:c r="E46" s="3" t="str">
        <x:v>https://modee.gov.jo/En/NewsDetails/OpenAI_Includes_Jordan_in_the_%E2%80%9CEducation_for_Countries%E2%80%9D_Initiative</x:v>
      </x:c>
      <x:c r="F46" s="3" t="str">
        <x:v>Technical, licence, evaluation or corroborating detail</x:v>
      </x:c>
      <x:c r="G46" s="3" t="str">
        <x:v>AI × education</x:v>
      </x:c>
      <x:c r="H46" s="3" t="str">
        <x:v>High on existence; lower on effects</x:v>
      </x:c>
      <x:c r="I46" s="9" t="n">
        <x:v>46268</x:v>
      </x:c>
      <x:c r="J46" s="11" t="n">
        <x:f>IF(COUNTIF($E$6:E46,E46)=1,1,0)</x:f>
        <x:v>1</x:v>
      </x:c>
      <x:c r="K46" s="11" t="str">
        <x:v>Government / intergovernmental</x:v>
      </x:c>
    </x:row>
    <x:row r="47" ht="32" customHeight="1">
      <x:c r="A47" s="3" t="str">
        <x:v>P022</x:v>
      </x:c>
      <x:c r="B47" s="3" t="str">
        <x:v>Tutor CoPilot</x:v>
      </x:c>
      <x:c r="C47" s="3" t="n">
        <x:v>1</x:v>
      </x:c>
      <x:c r="D47" s="3" t="str">
        <x:v>Project / steward</x:v>
      </x:c>
      <x:c r="E47" s="3" t="str">
        <x:v>https://edunlp.stanford.edu/projects/tutor-copilot</x:v>
      </x:c>
      <x:c r="F47" s="3" t="str">
        <x:v>Status, purpose, outputs and/or stewardship</x:v>
      </x:c>
      <x:c r="G47" s="3" t="str">
        <x:v>AI × education × open</x:v>
      </x:c>
      <x:c r="H47" s="3" t="str">
        <x:v>High</x:v>
      </x:c>
      <x:c r="I47" s="9" t="n">
        <x:v>46268</x:v>
      </x:c>
      <x:c r="J47" s="11" t="n">
        <x:f>IF(COUNTIF($E$6:E47,E47)=1,1,0)</x:f>
        <x:v>1</x:v>
      </x:c>
      <x:c r="K47" s="11" t="str">
        <x:v>Project / steward</x:v>
      </x:c>
    </x:row>
    <x:row r="48" ht="38" customHeight="1">
      <x:c r="A48" s="3" t="str">
        <x:v>P022</x:v>
      </x:c>
      <x:c r="B48" s="3" t="str">
        <x:v>Tutor CoPilot</x:v>
      </x:c>
      <x:c r="C48" s="3" t="n">
        <x:v>2</x:v>
      </x:c>
      <x:c r="D48" s="3" t="str">
        <x:v>Research / evaluation</x:v>
      </x:c>
      <x:c r="E48" s="3" t="str">
        <x:v>https://arxiv.org/abs/2410.03017</x:v>
      </x:c>
      <x:c r="F48" s="3" t="str">
        <x:v>Technical, licence, evaluation or corroborating detail</x:v>
      </x:c>
      <x:c r="G48" s="3" t="str">
        <x:v>AI × education × open</x:v>
      </x:c>
      <x:c r="H48" s="3" t="str">
        <x:v>High</x:v>
      </x:c>
      <x:c r="I48" s="9" t="n">
        <x:v>46268</x:v>
      </x:c>
      <x:c r="J48" s="11" t="n">
        <x:f>IF(COUNTIF($E$6:E48,E48)=1,1,0)</x:f>
        <x:v>1</x:v>
      </x:c>
      <x:c r="K48" s="11" t="str">
        <x:v>Research / evaluation</x:v>
      </x:c>
    </x:row>
    <x:row r="49" ht="32" customHeight="1">
      <x:c r="A49" s="3" t="str">
        <x:v>P023</x:v>
      </x:c>
      <x:c r="B49" s="3" t="str">
        <x:v>NSF Institute for Student–AI Teaming (iSAT)</x:v>
      </x:c>
      <x:c r="C49" s="3" t="n">
        <x:v>1</x:v>
      </x:c>
      <x:c r="D49" s="3" t="str">
        <x:v>Project / steward</x:v>
      </x:c>
      <x:c r="E49" s="3" t="str">
        <x:v>https://www.colorado.edu/research/ai-institute/our-products</x:v>
      </x:c>
      <x:c r="F49" s="3" t="str">
        <x:v>Status, purpose, outputs and/or stewardship</x:v>
      </x:c>
      <x:c r="G49" s="3" t="str">
        <x:v>AI × education × open</x:v>
      </x:c>
      <x:c r="H49" s="3" t="str">
        <x:v>High on existence; lower on effects</x:v>
      </x:c>
      <x:c r="I49" s="9" t="n">
        <x:v>46268</x:v>
      </x:c>
      <x:c r="J49" s="11" t="n">
        <x:f>IF(COUNTIF($E$6:E49,E49)=1,1,0)</x:f>
        <x:v>1</x:v>
      </x:c>
      <x:c r="K49" s="11" t="str">
        <x:v>Project / steward</x:v>
      </x:c>
    </x:row>
    <x:row r="50" ht="38" customHeight="1">
      <x:c r="A50" s="3" t="str">
        <x:v>P023</x:v>
      </x:c>
      <x:c r="B50" s="3" t="str">
        <x:v>NSF Institute for Student–AI Teaming (iSAT)</x:v>
      </x:c>
      <x:c r="C50" s="3" t="n">
        <x:v>2</x:v>
      </x:c>
      <x:c r="D50" s="3" t="str">
        <x:v>Project / steward</x:v>
      </x:c>
      <x:c r="E50" s="3" t="str">
        <x:v>https://www.colorado.edu/research/ai-institute/our-publications</x:v>
      </x:c>
      <x:c r="F50" s="3" t="str">
        <x:v>Technical, licence, evaluation or corroborating detail</x:v>
      </x:c>
      <x:c r="G50" s="3" t="str">
        <x:v>AI × education × open</x:v>
      </x:c>
      <x:c r="H50" s="3" t="str">
        <x:v>High on existence; lower on effects</x:v>
      </x:c>
      <x:c r="I50" s="9" t="n">
        <x:v>46268</x:v>
      </x:c>
      <x:c r="J50" s="11" t="n">
        <x:f>IF(COUNTIF($E$6:E50,E50)=1,1,0)</x:f>
        <x:v>1</x:v>
      </x:c>
      <x:c r="K50" s="11" t="str">
        <x:v>Project / steward</x:v>
      </x:c>
    </x:row>
    <x:row r="51" ht="38" customHeight="1">
      <x:c r="A51" s="3" t="str">
        <x:v>P024</x:v>
      </x:c>
      <x:c r="B51" s="3" t="str">
        <x:v>EdChat</x:v>
      </x:c>
      <x:c r="C51" s="3" t="n">
        <x:v>1</x:v>
      </x:c>
      <x:c r="D51" s="3" t="str">
        <x:v>Government / intergovernmental</x:v>
      </x:c>
      <x:c r="E51" s="3" t="str">
        <x:v>https://www.education.sa.gov.au/parents-and-families/curriculum-and-learning/ai/edchat</x:v>
      </x:c>
      <x:c r="F51" s="3" t="str">
        <x:v>Status, purpose, outputs and/or stewardship</x:v>
      </x:c>
      <x:c r="G51" s="3" t="str">
        <x:v>AI × education</x:v>
      </x:c>
      <x:c r="H51" s="3" t="str">
        <x:v>High on existence; lower on effects</x:v>
      </x:c>
      <x:c r="I51" s="9" t="n">
        <x:v>46268</x:v>
      </x:c>
      <x:c r="J51" s="11" t="n">
        <x:f>IF(COUNTIF($E$6:E51,E51)=1,1,0)</x:f>
        <x:v>1</x:v>
      </x:c>
      <x:c r="K51" s="11" t="str">
        <x:v>Government / intergovernmental</x:v>
      </x:c>
    </x:row>
    <x:row r="52" ht="51" customHeight="1">
      <x:c r="A52" s="3" t="str">
        <x:v>P024</x:v>
      </x:c>
      <x:c r="B52" s="3" t="str">
        <x:v>EdChat</x:v>
      </x:c>
      <x:c r="C52" s="3" t="n">
        <x:v>2</x:v>
      </x:c>
      <x:c r="D52" s="3" t="str">
        <x:v>Project / steward</x:v>
      </x:c>
      <x:c r="E52" s="3" t="str">
        <x:v>https://www.microsoft.com/en/customers/story/1751701319789621671-south-australia-department-of-education-azure-ai-content-safety-higher-education-en-australia</x:v>
      </x:c>
      <x:c r="F52" s="3" t="str">
        <x:v>Technical, licence, evaluation or corroborating detail</x:v>
      </x:c>
      <x:c r="G52" s="3" t="str">
        <x:v>AI × education</x:v>
      </x:c>
      <x:c r="H52" s="3" t="str">
        <x:v>High on existence; lower on effects</x:v>
      </x:c>
      <x:c r="I52" s="9" t="n">
        <x:v>46268</x:v>
      </x:c>
      <x:c r="J52" s="11" t="n">
        <x:f>IF(COUNTIF($E$6:E52,E52)=1,1,0)</x:f>
        <x:v>1</x:v>
      </x:c>
      <x:c r="K52" s="11" t="str">
        <x:v>Project / steward</x:v>
      </x:c>
    </x:row>
    <x:row r="53" ht="38" customHeight="1">
      <x:c r="A53" s="3" t="str">
        <x:v>P025</x:v>
      </x:c>
      <x:c r="B53" s="3" t="str">
        <x:v>NSWEduChat</x:v>
      </x:c>
      <x:c r="C53" s="3" t="n">
        <x:v>1</x:v>
      </x:c>
      <x:c r="D53" s="3" t="str">
        <x:v>Government / intergovernmental</x:v>
      </x:c>
      <x:c r="E53" s="3" t="str">
        <x:v>https://education.nsw.gov.au/teaching-and-learning/education-for-a-changing-world/nsweduchat</x:v>
      </x:c>
      <x:c r="F53" s="3" t="str">
        <x:v>Status, purpose, outputs and/or stewardship</x:v>
      </x:c>
      <x:c r="G53" s="3" t="str">
        <x:v>AI × education</x:v>
      </x:c>
      <x:c r="H53" s="3" t="str">
        <x:v>High on existence; lower on effects</x:v>
      </x:c>
      <x:c r="I53" s="9" t="n">
        <x:v>46268</x:v>
      </x:c>
      <x:c r="J53" s="11" t="n">
        <x:f>IF(COUNTIF($E$6:E53,E53)=1,1,0)</x:f>
        <x:v>1</x:v>
      </x:c>
      <x:c r="K53" s="11" t="str">
        <x:v>Government / intergovernmental</x:v>
      </x:c>
    </x:row>
    <x:row r="54" ht="38" customHeight="1">
      <x:c r="A54" s="3" t="str">
        <x:v>P025</x:v>
      </x:c>
      <x:c r="B54" s="3" t="str">
        <x:v>NSWEduChat</x:v>
      </x:c>
      <x:c r="C54" s="3" t="n">
        <x:v>2</x:v>
      </x:c>
      <x:c r="D54" s="3" t="str">
        <x:v>Government / intergovernmental</x:v>
      </x:c>
      <x:c r="E54" s="3" t="str">
        <x:v>https://www.digital.nsw.gov.au/strategy/case-studies/nsweduchat</x:v>
      </x:c>
      <x:c r="F54" s="3" t="str">
        <x:v>Technical, licence, evaluation or corroborating detail</x:v>
      </x:c>
      <x:c r="G54" s="3" t="str">
        <x:v>AI × education</x:v>
      </x:c>
      <x:c r="H54" s="3" t="str">
        <x:v>High on existence; lower on effects</x:v>
      </x:c>
      <x:c r="I54" s="9" t="n">
        <x:v>46268</x:v>
      </x:c>
      <x:c r="J54" s="11" t="n">
        <x:f>IF(COUNTIF($E$6:E54,E54)=1,1,0)</x:f>
        <x:v>1</x:v>
      </x:c>
      <x:c r="K54" s="11" t="str">
        <x:v>Government / intergovernmental</x:v>
      </x:c>
    </x:row>
    <x:row r="55" ht="32" customHeight="1">
      <x:c r="A55" s="3" t="str">
        <x:v>P026</x:v>
      </x:c>
      <x:c r="B55" s="3" t="str">
        <x:v>EU–OECD AI Literacy Framework</x:v>
      </x:c>
      <x:c r="C55" s="3" t="n">
        <x:v>1</x:v>
      </x:c>
      <x:c r="D55" s="3" t="str">
        <x:v>Government / intergovernmental</x:v>
      </x:c>
      <x:c r="E55" s="3" t="str">
        <x:v>https://education.ec.europa.eu/node/3537</x:v>
      </x:c>
      <x:c r="F55" s="3" t="str">
        <x:v>Status, purpose, outputs and/or stewardship</x:v>
      </x:c>
      <x:c r="G55" s="3" t="str">
        <x:v>AI × education</x:v>
      </x:c>
      <x:c r="H55" s="3" t="str">
        <x:v>High on existence; lower on effects</x:v>
      </x:c>
      <x:c r="I55" s="9" t="n">
        <x:v>46268</x:v>
      </x:c>
      <x:c r="J55" s="11" t="n">
        <x:f>IF(COUNTIF($E$6:E55,E55)=1,1,0)</x:f>
        <x:v>1</x:v>
      </x:c>
      <x:c r="K55" s="11" t="str">
        <x:v>Government / intergovernmental</x:v>
      </x:c>
    </x:row>
    <x:row r="56" ht="38" customHeight="1">
      <x:c r="A56" s="3" t="str">
        <x:v>P026</x:v>
      </x:c>
      <x:c r="B56" s="3" t="str">
        <x:v>EU–OECD AI Literacy Framework</x:v>
      </x:c>
      <x:c r="C56" s="3" t="n">
        <x:v>2</x:v>
      </x:c>
      <x:c r="D56" s="3" t="str">
        <x:v>Government / intergovernmental</x:v>
      </x:c>
      <x:c r="E56" s="3" t="str">
        <x:v>https://www.oecd.org/en/about/projects/pisa-2029-media-and-artificial-intelligence-literacy.html</x:v>
      </x:c>
      <x:c r="F56" s="3" t="str">
        <x:v>Technical, licence, evaluation or corroborating detail</x:v>
      </x:c>
      <x:c r="G56" s="3" t="str">
        <x:v>AI × education</x:v>
      </x:c>
      <x:c r="H56" s="3" t="str">
        <x:v>High on existence; lower on effects</x:v>
      </x:c>
      <x:c r="I56" s="9" t="n">
        <x:v>46268</x:v>
      </x:c>
      <x:c r="J56" s="11" t="n">
        <x:f>IF(COUNTIF($E$6:E56,E56)=1,1,0)</x:f>
        <x:v>1</x:v>
      </x:c>
      <x:c r="K56" s="11" t="str">
        <x:v>Government / intergovernmental</x:v>
      </x:c>
    </x:row>
    <x:row r="57" ht="32" customHeight="1">
      <x:c r="A57" s="3" t="str">
        <x:v>P027</x:v>
      </x:c>
      <x:c r="B57" s="3" t="str">
        <x:v>AI4K12 — Five Big Ideas in AI</x:v>
      </x:c>
      <x:c r="C57" s="3" t="n">
        <x:v>1</x:v>
      </x:c>
      <x:c r="D57" s="3" t="str">
        <x:v>Project / steward</x:v>
      </x:c>
      <x:c r="E57" s="3" t="str">
        <x:v>https://ai4k12.org/</x:v>
      </x:c>
      <x:c r="F57" s="3" t="str">
        <x:v>Status, purpose, outputs and/or stewardship</x:v>
      </x:c>
      <x:c r="G57" s="3" t="str">
        <x:v>AI × education</x:v>
      </x:c>
      <x:c r="H57" s="3" t="str">
        <x:v>High on existence; lower on effects</x:v>
      </x:c>
      <x:c r="I57" s="9" t="n">
        <x:v>46268</x:v>
      </x:c>
      <x:c r="J57" s="11" t="n">
        <x:f>IF(COUNTIF($E$6:E57,E57)=1,1,0)</x:f>
        <x:v>1</x:v>
      </x:c>
      <x:c r="K57" s="11" t="str">
        <x:v>Project / steward</x:v>
      </x:c>
    </x:row>
    <x:row r="58" ht="38" customHeight="1">
      <x:c r="A58" s="3" t="str">
        <x:v>P028</x:v>
      </x:c>
      <x:c r="B58" s="3" t="str">
        <x:v>Naija Teacher AI</x:v>
      </x:c>
      <x:c r="C58" s="3" t="n">
        <x:v>1</x:v>
      </x:c>
      <x:c r="D58" s="3" t="str">
        <x:v>Government / intergovernmental</x:v>
      </x:c>
      <x:c r="E58" s="3" t="str">
        <x:v>https://www.unesco.org/sdg4education2030/en/knowledge-hub/naija-teacher-ai-ai-powered-system-transforming-teacher-capacity-scale</x:v>
      </x:c>
      <x:c r="F58" s="3" t="str">
        <x:v>Status, purpose, outputs and/or stewardship</x:v>
      </x:c>
      <x:c r="G58" s="3" t="str">
        <x:v>AI × education</x:v>
      </x:c>
      <x:c r="H58" s="3" t="str">
        <x:v>Medium</x:v>
      </x:c>
      <x:c r="I58" s="9" t="n">
        <x:v>46268</x:v>
      </x:c>
      <x:c r="J58" s="11" t="n">
        <x:f>IF(COUNTIF($E$6:E58,E58)=1,1,0)</x:f>
        <x:v>1</x:v>
      </x:c>
      <x:c r="K58" s="11" t="str">
        <x:v>Government / intergovernmental</x:v>
      </x:c>
    </x:row>
    <x:row r="59" ht="38" customHeight="1">
      <x:c r="A59" s="3" t="str">
        <x:v>P029</x:v>
      </x:c>
      <x:c r="B59" s="3" t="str">
        <x:v>China national AI education action / smart education platform</x:v>
      </x:c>
      <x:c r="C59" s="3" t="n">
        <x:v>1</x:v>
      </x:c>
      <x:c r="D59" s="3" t="str">
        <x:v>Government / intergovernmental</x:v>
      </x:c>
      <x:c r="E59" s="3" t="str">
        <x:v>https://english.www.gov.cn/news/202604/15/content_WS69df29e6c6d00ca5f9a0a6b1.html</x:v>
      </x:c>
      <x:c r="F59" s="3" t="str">
        <x:v>Status, purpose, outputs and/or stewardship</x:v>
      </x:c>
      <x:c r="G59" s="3" t="str">
        <x:v>AI × education</x:v>
      </x:c>
      <x:c r="H59" s="3" t="str">
        <x:v>High on existence; lower on effects</x:v>
      </x:c>
      <x:c r="I59" s="9" t="n">
        <x:v>46268</x:v>
      </x:c>
      <x:c r="J59" s="11" t="n">
        <x:f>IF(COUNTIF($E$6:E59,E59)=1,1,0)</x:f>
        <x:v>1</x:v>
      </x:c>
      <x:c r="K59" s="11" t="str">
        <x:v>Government / intergovernmental</x:v>
      </x:c>
    </x:row>
    <x:row r="60" ht="38" customHeight="1">
      <x:c r="A60" s="3" t="str">
        <x:v>P029</x:v>
      </x:c>
      <x:c r="B60" s="3" t="str">
        <x:v>China national AI education action / smart education platform</x:v>
      </x:c>
      <x:c r="C60" s="3" t="n">
        <x:v>2</x:v>
      </x:c>
      <x:c r="D60" s="3" t="str">
        <x:v>Government / intergovernmental</x:v>
      </x:c>
      <x:c r="E60" s="3" t="str">
        <x:v>https://english.www.gov.cn/policies/policywatch/202504/18/content_WS6801bda9c6d0868f4e8f1da9.html</x:v>
      </x:c>
      <x:c r="F60" s="3" t="str">
        <x:v>Technical, licence, evaluation or corroborating detail</x:v>
      </x:c>
      <x:c r="G60" s="3" t="str">
        <x:v>AI × education</x:v>
      </x:c>
      <x:c r="H60" s="3" t="str">
        <x:v>High on existence; lower on effects</x:v>
      </x:c>
      <x:c r="I60" s="9" t="n">
        <x:v>46268</x:v>
      </x:c>
      <x:c r="J60" s="11" t="n">
        <x:f>IF(COUNTIF($E$6:E60,E60)=1,1,0)</x:f>
        <x:v>1</x:v>
      </x:c>
      <x:c r="K60" s="11" t="str">
        <x:v>Government / intergovernmental</x:v>
      </x:c>
    </x:row>
    <x:row r="61" ht="38" customHeight="1">
      <x:c r="A61" s="3" t="str">
        <x:v>P030</x:v>
      </x:c>
      <x:c r="B61" s="3" t="str">
        <x:v>Australian Framework for Generative AI in Schools + WA workload pilot</x:v>
      </x:c>
      <x:c r="C61" s="3" t="n">
        <x:v>1</x:v>
      </x:c>
      <x:c r="D61" s="3" t="str">
        <x:v>Government / intergovernmental</x:v>
      </x:c>
      <x:c r="E61" s="3" t="str">
        <x:v>https://www.education.gov.au/schooling/resources/australian-framework-generative-artificial-intelligence-ai-schools</x:v>
      </x:c>
      <x:c r="F61" s="3" t="str">
        <x:v>Status, purpose, outputs and/or stewardship</x:v>
      </x:c>
      <x:c r="G61" s="3" t="str">
        <x:v>AI × education</x:v>
      </x:c>
      <x:c r="H61" s="3" t="str">
        <x:v>High on existence; lower on effects</x:v>
      </x:c>
      <x:c r="I61" s="9" t="n">
        <x:v>46268</x:v>
      </x:c>
      <x:c r="J61" s="11" t="n">
        <x:f>IF(COUNTIF($E$6:E61,E61)=1,1,0)</x:f>
        <x:v>1</x:v>
      </x:c>
      <x:c r="K61" s="11" t="str">
        <x:v>Government / intergovernmental</x:v>
      </x:c>
    </x:row>
    <x:row r="62" ht="38" customHeight="1">
      <x:c r="A62" s="3" t="str">
        <x:v>P030</x:v>
      </x:c>
      <x:c r="B62" s="3" t="str">
        <x:v>Australian Framework for Generative AI in Schools + WA workload pilot</x:v>
      </x:c>
      <x:c r="C62" s="3" t="n">
        <x:v>2</x:v>
      </x:c>
      <x:c r="D62" s="3" t="str">
        <x:v>Government / intergovernmental</x:v>
      </x:c>
      <x:c r="E62" s="3" t="str">
        <x:v>https://ministers.education.gov.au/clare/ai-pilot-help-tackle-wa-teacher-workloads</x:v>
      </x:c>
      <x:c r="F62" s="3" t="str">
        <x:v>Technical, licence, evaluation or corroborating detail</x:v>
      </x:c>
      <x:c r="G62" s="3" t="str">
        <x:v>AI × education</x:v>
      </x:c>
      <x:c r="H62" s="3" t="str">
        <x:v>High on existence; lower on effects</x:v>
      </x:c>
      <x:c r="I62" s="9" t="n">
        <x:v>46268</x:v>
      </x:c>
      <x:c r="J62" s="11" t="n">
        <x:f>IF(COUNTIF($E$6:E62,E62)=1,1,0)</x:f>
        <x:v>1</x:v>
      </x:c>
      <x:c r="K62" s="11" t="str">
        <x:v>Government / intergovernmental</x:v>
      </x:c>
    </x:row>
    <x:row r="63" ht="38" customHeight="1">
      <x:c r="A63" s="3" t="str">
        <x:v>P031</x:v>
      </x:c>
      <x:c r="B63" s="3" t="str">
        <x:v>AI-ALOE — AI Institute for Adult Learning and Online Education</x:v>
      </x:c>
      <x:c r="C63" s="3" t="n">
        <x:v>1</x:v>
      </x:c>
      <x:c r="D63" s="3" t="str">
        <x:v>Project / steward</x:v>
      </x:c>
      <x:c r="E63" s="3" t="str">
        <x:v>https://aialoe.org/</x:v>
      </x:c>
      <x:c r="F63" s="3" t="str">
        <x:v>Status, purpose, outputs and/or stewardship</x:v>
      </x:c>
      <x:c r="G63" s="3" t="str">
        <x:v>AI × education × open</x:v>
      </x:c>
      <x:c r="H63" s="3" t="str">
        <x:v>High on existence; lower on effects</x:v>
      </x:c>
      <x:c r="I63" s="9" t="n">
        <x:v>46268</x:v>
      </x:c>
      <x:c r="J63" s="11" t="n">
        <x:f>IF(COUNTIF($E$6:E63,E63)=1,1,0)</x:f>
        <x:v>1</x:v>
      </x:c>
      <x:c r="K63" s="11" t="str">
        <x:v>Project / steward</x:v>
      </x:c>
    </x:row>
    <x:row r="64" ht="38" customHeight="1">
      <x:c r="A64" s="3" t="str">
        <x:v>P031</x:v>
      </x:c>
      <x:c r="B64" s="3" t="str">
        <x:v>AI-ALOE — AI Institute for Adult Learning and Online Education</x:v>
      </x:c>
      <x:c r="C64" s="3" t="n">
        <x:v>2</x:v>
      </x:c>
      <x:c r="D64" s="3" t="str">
        <x:v>Repository</x:v>
      </x:c>
      <x:c r="E64" s="3" t="str">
        <x:v>https://github.com/aialoe</x:v>
      </x:c>
      <x:c r="F64" s="3" t="str">
        <x:v>Technical, licence, evaluation or corroborating detail</x:v>
      </x:c>
      <x:c r="G64" s="3" t="str">
        <x:v>AI × education × open</x:v>
      </x:c>
      <x:c r="H64" s="3" t="str">
        <x:v>High on existence; lower on effects</x:v>
      </x:c>
      <x:c r="I64" s="9" t="n">
        <x:v>46268</x:v>
      </x:c>
      <x:c r="J64" s="11" t="n">
        <x:f>IF(COUNTIF($E$6:E64,E64)=1,1,0)</x:f>
        <x:v>1</x:v>
      </x:c>
      <x:c r="K64" s="11" t="str">
        <x:v>Repository</x:v>
      </x:c>
    </x:row>
    <x:row r="65" ht="38" customHeight="1">
      <x:c r="A65" s="3" t="str">
        <x:v>P032</x:v>
      </x:c>
      <x:c r="B65" s="3" t="str">
        <x:v>INVITE — Inclusive and Intelligent Technologies for Education</x:v>
      </x:c>
      <x:c r="C65" s="3" t="n">
        <x:v>1</x:v>
      </x:c>
      <x:c r="D65" s="3" t="str">
        <x:v>Government / intergovernmental</x:v>
      </x:c>
      <x:c r="E65" s="3" t="str">
        <x:v>https://ies.ed.gov/use-work/awards/invite-inclusive-and-innovative-intelligent-technologies-education</x:v>
      </x:c>
      <x:c r="F65" s="3" t="str">
        <x:v>Status, purpose, outputs and/or stewardship</x:v>
      </x:c>
      <x:c r="G65" s="3" t="str">
        <x:v>AI × education × open</x:v>
      </x:c>
      <x:c r="H65" s="3" t="str">
        <x:v>High on existence; lower on effects</x:v>
      </x:c>
      <x:c r="I65" s="9" t="n">
        <x:v>46268</x:v>
      </x:c>
      <x:c r="J65" s="11" t="n">
        <x:f>IF(COUNTIF($E$6:E65,E65)=1,1,0)</x:f>
        <x:v>1</x:v>
      </x:c>
      <x:c r="K65" s="11" t="str">
        <x:v>Government / intergovernmental</x:v>
      </x:c>
    </x:row>
    <x:row r="66" ht="38" customHeight="1">
      <x:c r="A66" s="3" t="str">
        <x:v>P032</x:v>
      </x:c>
      <x:c r="B66" s="3" t="str">
        <x:v>INVITE — Inclusive and Intelligent Technologies for Education</x:v>
      </x:c>
      <x:c r="C66" s="3" t="n">
        <x:v>2</x:v>
      </x:c>
      <x:c r="D66" s="3" t="str">
        <x:v>Project / steward</x:v>
      </x:c>
      <x:c r="E66" s="3" t="str">
        <x:v>https://invite.illinois.edu/</x:v>
      </x:c>
      <x:c r="F66" s="3" t="str">
        <x:v>Technical, licence, evaluation or corroborating detail</x:v>
      </x:c>
      <x:c r="G66" s="3" t="str">
        <x:v>AI × education × open</x:v>
      </x:c>
      <x:c r="H66" s="3" t="str">
        <x:v>High on existence; lower on effects</x:v>
      </x:c>
      <x:c r="I66" s="9" t="n">
        <x:v>46268</x:v>
      </x:c>
      <x:c r="J66" s="11" t="n">
        <x:f>IF(COUNTIF($E$6:E66,E66)=1,1,0)</x:f>
        <x:v>1</x:v>
      </x:c>
      <x:c r="K66" s="11" t="str">
        <x:v>Project / steward</x:v>
      </x:c>
    </x:row>
    <x:row r="67" ht="32" customHeight="1">
      <x:c r="A67" s="3" t="str">
        <x:v>P033</x:v>
      </x:c>
      <x:c r="B67" s="3" t="str">
        <x:v>AI4ExceptionalEd</x:v>
      </x:c>
      <x:c r="C67" s="3" t="n">
        <x:v>1</x:v>
      </x:c>
      <x:c r="D67" s="3" t="str">
        <x:v>Project / steward</x:v>
      </x:c>
      <x:c r="E67" s="3" t="str">
        <x:v>https://www.buffalo.edu/ai4exceptionaled.html</x:v>
      </x:c>
      <x:c r="F67" s="3" t="str">
        <x:v>Status, purpose, outputs and/or stewardship</x:v>
      </x:c>
      <x:c r="G67" s="3" t="str">
        <x:v>AI × education</x:v>
      </x:c>
      <x:c r="H67" s="3" t="str">
        <x:v>High on existence; lower on effects</x:v>
      </x:c>
      <x:c r="I67" s="9" t="n">
        <x:v>46268</x:v>
      </x:c>
      <x:c r="J67" s="11" t="n">
        <x:f>IF(COUNTIF($E$6:E67,E67)=1,1,0)</x:f>
        <x:v>1</x:v>
      </x:c>
      <x:c r="K67" s="11" t="str">
        <x:v>Project / steward</x:v>
      </x:c>
    </x:row>
    <x:row r="68" ht="38" customHeight="1">
      <x:c r="A68" s="3" t="str">
        <x:v>P034</x:v>
      </x:c>
      <x:c r="B68" s="3" t="str">
        <x:v>Nigeria after-school generative-AI tutoring pilot</x:v>
      </x:c>
      <x:c r="C68" s="3" t="n">
        <x:v>1</x:v>
      </x:c>
      <x:c r="D68" s="3" t="str">
        <x:v>Government / intergovernmental</x:v>
      </x:c>
      <x:c r="E68" s="3" t="str">
        <x:v>https://blogs.worldbank.org/en/education/From-chalkboards-to-chatbots-Transforming-learning-in-Nigeria</x:v>
      </x:c>
      <x:c r="F68" s="3" t="str">
        <x:v>Status, purpose, outputs and/or stewardship</x:v>
      </x:c>
      <x:c r="G68" s="3" t="str">
        <x:v>AI × education</x:v>
      </x:c>
      <x:c r="H68" s="3" t="str">
        <x:v>High on existence; lower on effects</x:v>
      </x:c>
      <x:c r="I68" s="9" t="n">
        <x:v>46268</x:v>
      </x:c>
      <x:c r="J68" s="11" t="n">
        <x:f>IF(COUNTIF($E$6:E68,E68)=1,1,0)</x:f>
        <x:v>1</x:v>
      </x:c>
      <x:c r="K68" s="11" t="str">
        <x:v>Government / intergovernmental</x:v>
      </x:c>
    </x:row>
    <x:row r="69" ht="38" customHeight="1">
      <x:c r="A69" s="3" t="str">
        <x:v>P035</x:v>
      </x:c>
      <x:c r="B69" s="3" t="str">
        <x:v>Gallito — AI-supported learning in Peru</x:v>
      </x:c>
      <x:c r="C69" s="3" t="n">
        <x:v>1</x:v>
      </x:c>
      <x:c r="D69" s="3" t="str">
        <x:v>Government / intergovernmental</x:v>
      </x:c>
      <x:c r="E69" s="3" t="str">
        <x:v>https://www.worldbank.org/en/results/2026/07/02/artificial-intelligence-in-action-in-latin-america-s-schools-evidence-from-peru</x:v>
      </x:c>
      <x:c r="F69" s="3" t="str">
        <x:v>Status, purpose, outputs and/or stewardship</x:v>
      </x:c>
      <x:c r="G69" s="3" t="str">
        <x:v>AI × education</x:v>
      </x:c>
      <x:c r="H69" s="3" t="str">
        <x:v>High on existence; lower on effects</x:v>
      </x:c>
      <x:c r="I69" s="9" t="n">
        <x:v>46268</x:v>
      </x:c>
      <x:c r="J69" s="11" t="n">
        <x:f>IF(COUNTIF($E$6:E69,E69)=1,1,0)</x:f>
        <x:v>1</x:v>
      </x:c>
      <x:c r="K69" s="11" t="str">
        <x:v>Government / intergovernmental</x:v>
      </x:c>
    </x:row>
    <x:row r="70" ht="32" customHeight="1">
      <x:c r="A70" s="3" t="str">
        <x:v>P036</x:v>
      </x:c>
      <x:c r="B70" s="3" t="str">
        <x:v>Oak Open Curriculum Ecosystem</x:v>
      </x:c>
      <x:c r="C70" s="3" t="n">
        <x:v>1</x:v>
      </x:c>
      <x:c r="D70" s="3" t="str">
        <x:v>Repository</x:v>
      </x:c>
      <x:c r="E70" s="3" t="str">
        <x:v>https://github.com/oaknational/oak-open-curriculum-ecosystem</x:v>
      </x:c>
      <x:c r="F70" s="3" t="str">
        <x:v>Status, purpose, outputs and/or stewardship</x:v>
      </x:c>
      <x:c r="G70" s="3" t="str">
        <x:v>AI × education × open</x:v>
      </x:c>
      <x:c r="H70" s="3" t="str">
        <x:v>High</x:v>
      </x:c>
      <x:c r="I70" s="9" t="n">
        <x:v>46268</x:v>
      </x:c>
      <x:c r="J70" s="11" t="n">
        <x:f>IF(COUNTIF($E$6:E70,E70)=1,1,0)</x:f>
        <x:v>1</x:v>
      </x:c>
      <x:c r="K70" s="11" t="str">
        <x:v>Repository</x:v>
      </x:c>
    </x:row>
    <x:row r="71" ht="38" customHeight="1">
      <x:c r="A71" s="3" t="str">
        <x:v>P036</x:v>
      </x:c>
      <x:c r="B71" s="3" t="str">
        <x:v>Oak Open Curriculum Ecosystem</x:v>
      </x:c>
      <x:c r="C71" s="3" t="n">
        <x:v>2</x:v>
      </x:c>
      <x:c r="D71" s="3" t="str">
        <x:v>Project / steward</x:v>
      </x:c>
      <x:c r="E71" s="3" t="str">
        <x:v>https://open-api.thenational.academy/</x:v>
      </x:c>
      <x:c r="F71" s="3" t="str">
        <x:v>Technical, licence, evaluation or corroborating detail</x:v>
      </x:c>
      <x:c r="G71" s="3" t="str">
        <x:v>AI × education × open</x:v>
      </x:c>
      <x:c r="H71" s="3" t="str">
        <x:v>High</x:v>
      </x:c>
      <x:c r="I71" s="9" t="n">
        <x:v>46268</x:v>
      </x:c>
      <x:c r="J71" s="11" t="n">
        <x:f>IF(COUNTIF($E$6:E71,E71)=1,1,0)</x:f>
        <x:v>1</x:v>
      </x:c>
      <x:c r="K71" s="11" t="str">
        <x:v>Project / steward</x:v>
      </x:c>
    </x:row>
    <x:row r="72" ht="38" customHeight="1">
      <x:c r="A72" s="3" t="str">
        <x:v>P037</x:v>
      </x:c>
      <x:c r="B72" s="3" t="str">
        <x:v>Aila — Oak’s AI Lesson Assistant</x:v>
      </x:c>
      <x:c r="C72" s="3" t="n">
        <x:v>1</x:v>
      </x:c>
      <x:c r="D72" s="3" t="str">
        <x:v>Government / intergovernmental</x:v>
      </x:c>
      <x:c r="E72" s="3" t="str">
        <x:v>https://www.gov.uk/algorithmic-transparency-records/oak-national-academy-aila-oaks-ai-lesson-assistant</x:v>
      </x:c>
      <x:c r="F72" s="3" t="str">
        <x:v>Status, purpose, outputs and/or stewardship</x:v>
      </x:c>
      <x:c r="G72" s="3" t="str">
        <x:v>AI × education × open</x:v>
      </x:c>
      <x:c r="H72" s="3" t="str">
        <x:v>High on existence; lower on effects</x:v>
      </x:c>
      <x:c r="I72" s="9" t="n">
        <x:v>46268</x:v>
      </x:c>
      <x:c r="J72" s="11" t="n">
        <x:f>IF(COUNTIF($E$6:E72,E72)=1,1,0)</x:f>
        <x:v>1</x:v>
      </x:c>
      <x:c r="K72" s="11" t="str">
        <x:v>Government / intergovernmental</x:v>
      </x:c>
    </x:row>
    <x:row r="73" ht="38" customHeight="1">
      <x:c r="A73" s="3" t="str">
        <x:v>P037</x:v>
      </x:c>
      <x:c r="B73" s="3" t="str">
        <x:v>Aila — Oak’s AI Lesson Assistant</x:v>
      </x:c>
      <x:c r="C73" s="3" t="n">
        <x:v>2</x:v>
      </x:c>
      <x:c r="D73" s="3" t="str">
        <x:v>Repository</x:v>
      </x:c>
      <x:c r="E73" s="3" t="str">
        <x:v>https://github.com/oaknational/oak-ai-lesson-assistant</x:v>
      </x:c>
      <x:c r="F73" s="3" t="str">
        <x:v>Technical, licence, evaluation or corroborating detail</x:v>
      </x:c>
      <x:c r="G73" s="3" t="str">
        <x:v>AI × education × open</x:v>
      </x:c>
      <x:c r="H73" s="3" t="str">
        <x:v>High on existence; lower on effects</x:v>
      </x:c>
      <x:c r="I73" s="9" t="n">
        <x:v>46268</x:v>
      </x:c>
      <x:c r="J73" s="11" t="n">
        <x:f>IF(COUNTIF($E$6:E73,E73)=1,1,0)</x:f>
        <x:v>1</x:v>
      </x:c>
      <x:c r="K73" s="11" t="str">
        <x:v>Repository</x:v>
      </x:c>
    </x:row>
    <x:row r="74" ht="38" customHeight="1">
      <x:c r="A74" s="3" t="str">
        <x:v>P038</x:v>
      </x:c>
      <x:c r="B74" s="3" t="str">
        <x:v>Learning Commons — Knowledge Graph, Evaluators and Agent Skills</x:v>
      </x:c>
      <x:c r="C74" s="3" t="n">
        <x:v>1</x:v>
      </x:c>
      <x:c r="D74" s="3" t="str">
        <x:v>Project / steward</x:v>
      </x:c>
      <x:c r="E74" s="3" t="str">
        <x:v>https://docs.learningcommons.org/</x:v>
      </x:c>
      <x:c r="F74" s="3" t="str">
        <x:v>Status, purpose, outputs and/or stewardship</x:v>
      </x:c>
      <x:c r="G74" s="3" t="str">
        <x:v>AI × education × open</x:v>
      </x:c>
      <x:c r="H74" s="3" t="str">
        <x:v>High</x:v>
      </x:c>
      <x:c r="I74" s="9" t="n">
        <x:v>46268</x:v>
      </x:c>
      <x:c r="J74" s="11" t="n">
        <x:f>IF(COUNTIF($E$6:E74,E74)=1,1,0)</x:f>
        <x:v>1</x:v>
      </x:c>
      <x:c r="K74" s="11" t="str">
        <x:v>Project / steward</x:v>
      </x:c>
    </x:row>
    <x:row r="75" ht="38" customHeight="1">
      <x:c r="A75" s="3" t="str">
        <x:v>P038</x:v>
      </x:c>
      <x:c r="B75" s="3" t="str">
        <x:v>Learning Commons — Knowledge Graph, Evaluators and Agent Skills</x:v>
      </x:c>
      <x:c r="C75" s="3" t="n">
        <x:v>2</x:v>
      </x:c>
      <x:c r="D75" s="3" t="str">
        <x:v>Repository</x:v>
      </x:c>
      <x:c r="E75" s="3" t="str">
        <x:v>https://github.com/learning-commons-org/knowledge-graph</x:v>
      </x:c>
      <x:c r="F75" s="3" t="str">
        <x:v>Technical, licence, evaluation or corroborating detail</x:v>
      </x:c>
      <x:c r="G75" s="3" t="str">
        <x:v>AI × education × open</x:v>
      </x:c>
      <x:c r="H75" s="3" t="str">
        <x:v>High</x:v>
      </x:c>
      <x:c r="I75" s="9" t="n">
        <x:v>46268</x:v>
      </x:c>
      <x:c r="J75" s="11" t="n">
        <x:f>IF(COUNTIF($E$6:E75,E75)=1,1,0)</x:f>
        <x:v>1</x:v>
      </x:c>
      <x:c r="K75" s="11" t="str">
        <x:v>Repository</x:v>
      </x:c>
    </x:row>
    <x:row r="76" ht="32" customHeight="1">
      <x:c r="A76" s="3" t="str">
        <x:v>P039</x:v>
      </x:c>
      <x:c r="B76" s="3" t="str">
        <x:v>Credential Engine CTDL + CTDL xTRA</x:v>
      </x:c>
      <x:c r="C76" s="3" t="n">
        <x:v>1</x:v>
      </x:c>
      <x:c r="D76" s="3" t="str">
        <x:v>Project / steward</x:v>
      </x:c>
      <x:c r="E76" s="3" t="str">
        <x:v>https://credentialengine.org/credentialtransparency-ai/</x:v>
      </x:c>
      <x:c r="F76" s="3" t="str">
        <x:v>Status, purpose, outputs and/or stewardship</x:v>
      </x:c>
      <x:c r="G76" s="3" t="str">
        <x:v>AI × education × open</x:v>
      </x:c>
      <x:c r="H76" s="3" t="str">
        <x:v>High</x:v>
      </x:c>
      <x:c r="I76" s="9" t="n">
        <x:v>46268</x:v>
      </x:c>
      <x:c r="J76" s="11" t="n">
        <x:f>IF(COUNTIF($E$6:E76,E76)=1,1,0)</x:f>
        <x:v>1</x:v>
      </x:c>
      <x:c r="K76" s="11" t="str">
        <x:v>Project / steward</x:v>
      </x:c>
    </x:row>
    <x:row r="77" ht="38" customHeight="1">
      <x:c r="A77" s="3" t="str">
        <x:v>P039</x:v>
      </x:c>
      <x:c r="B77" s="3" t="str">
        <x:v>Credential Engine CTDL + CTDL xTRA</x:v>
      </x:c>
      <x:c r="C77" s="3" t="n">
        <x:v>2</x:v>
      </x:c>
      <x:c r="D77" s="3" t="str">
        <x:v>Repository</x:v>
      </x:c>
      <x:c r="E77" s="3" t="str">
        <x:v>https://github.com/CredentialEngine/ctdl-xtra</x:v>
      </x:c>
      <x:c r="F77" s="3" t="str">
        <x:v>Technical, licence, evaluation or corroborating detail</x:v>
      </x:c>
      <x:c r="G77" s="3" t="str">
        <x:v>AI × education × open</x:v>
      </x:c>
      <x:c r="H77" s="3" t="str">
        <x:v>High</x:v>
      </x:c>
      <x:c r="I77" s="9" t="n">
        <x:v>46268</x:v>
      </x:c>
      <x:c r="J77" s="11" t="n">
        <x:f>IF(COUNTIF($E$6:E77,E77)=1,1,0)</x:f>
        <x:v>1</x:v>
      </x:c>
      <x:c r="K77" s="11" t="str">
        <x:v>Repository</x:v>
      </x:c>
    </x:row>
    <x:row r="78" ht="32" customHeight="1">
      <x:c r="A78" s="3" t="str">
        <x:v>P040</x:v>
      </x:c>
      <x:c r="B78" s="3" t="str">
        <x:v>OATutor / OATutor-Content</x:v>
      </x:c>
      <x:c r="C78" s="3" t="n">
        <x:v>1</x:v>
      </x:c>
      <x:c r="D78" s="3" t="str">
        <x:v>Repository</x:v>
      </x:c>
      <x:c r="E78" s="3" t="str">
        <x:v>https://github.com/CAHLR/OATutor</x:v>
      </x:c>
      <x:c r="F78" s="3" t="str">
        <x:v>Status, purpose, outputs and/or stewardship</x:v>
      </x:c>
      <x:c r="G78" s="3" t="str">
        <x:v>AI × education × open</x:v>
      </x:c>
      <x:c r="H78" s="3" t="str">
        <x:v>High</x:v>
      </x:c>
      <x:c r="I78" s="9" t="n">
        <x:v>46268</x:v>
      </x:c>
      <x:c r="J78" s="11" t="n">
        <x:f>IF(COUNTIF($E$6:E78,E78)=1,1,0)</x:f>
        <x:v>1</x:v>
      </x:c>
      <x:c r="K78" s="11" t="str">
        <x:v>Repository</x:v>
      </x:c>
    </x:row>
    <x:row r="79" ht="38" customHeight="1">
      <x:c r="A79" s="3" t="str">
        <x:v>P040</x:v>
      </x:c>
      <x:c r="B79" s="3" t="str">
        <x:v>OATutor / OATutor-Content</x:v>
      </x:c>
      <x:c r="C79" s="3" t="n">
        <x:v>2</x:v>
      </x:c>
      <x:c r="D79" s="3" t="str">
        <x:v>Research / evaluation</x:v>
      </x:c>
      <x:c r="E79" s="3" t="str">
        <x:v>https://pmc.ncbi.nlm.nih.gov/articles/PMC11125466/</x:v>
      </x:c>
      <x:c r="F79" s="3" t="str">
        <x:v>Technical, licence, evaluation or corroborating detail</x:v>
      </x:c>
      <x:c r="G79" s="3" t="str">
        <x:v>AI × education × open</x:v>
      </x:c>
      <x:c r="H79" s="3" t="str">
        <x:v>High</x:v>
      </x:c>
      <x:c r="I79" s="9" t="n">
        <x:v>46268</x:v>
      </x:c>
      <x:c r="J79" s="11" t="n">
        <x:f>IF(COUNTIF($E$6:E79,E79)=1,1,0)</x:f>
        <x:v>1</x:v>
      </x:c>
      <x:c r="K79" s="11" t="str">
        <x:v>Research / evaluation</x:v>
      </x:c>
    </x:row>
    <x:row r="80" ht="32" customHeight="1">
      <x:c r="A80" s="3" t="str">
        <x:v>P041</x:v>
      </x:c>
      <x:c r="B80" s="3" t="str">
        <x:v>TutorChat / LM-Science-Tutor</x:v>
      </x:c>
      <x:c r="C80" s="3" t="n">
        <x:v>1</x:v>
      </x:c>
      <x:c r="D80" s="3" t="str">
        <x:v>Repository</x:v>
      </x:c>
      <x:c r="E80" s="3" t="str">
        <x:v>https://github.com/princeton-nlp/LM-Science-Tutor</x:v>
      </x:c>
      <x:c r="F80" s="3" t="str">
        <x:v>Status, purpose, outputs and/or stewardship</x:v>
      </x:c>
      <x:c r="G80" s="3" t="str">
        <x:v>AI × education × open</x:v>
      </x:c>
      <x:c r="H80" s="3" t="str">
        <x:v>High on artifact; medium on legal reuse</x:v>
      </x:c>
      <x:c r="I80" s="9" t="n">
        <x:v>46268</x:v>
      </x:c>
      <x:c r="J80" s="11" t="n">
        <x:f>IF(COUNTIF($E$6:E80,E80)=1,1,0)</x:f>
        <x:v>1</x:v>
      </x:c>
      <x:c r="K80" s="11" t="str">
        <x:v>Repository</x:v>
      </x:c>
    </x:row>
    <x:row r="81" ht="38" customHeight="1">
      <x:c r="A81" s="3" t="str">
        <x:v>P041</x:v>
      </x:c>
      <x:c r="B81" s="3" t="str">
        <x:v>TutorChat / LM-Science-Tutor</x:v>
      </x:c>
      <x:c r="C81" s="3" t="n">
        <x:v>2</x:v>
      </x:c>
      <x:c r="D81" s="3" t="str">
        <x:v>Research / evaluation</x:v>
      </x:c>
      <x:c r="E81" s="3" t="str">
        <x:v>https://arxiv.org/abs/2402.11111</x:v>
      </x:c>
      <x:c r="F81" s="3" t="str">
        <x:v>Technical, licence, evaluation or corroborating detail</x:v>
      </x:c>
      <x:c r="G81" s="3" t="str">
        <x:v>AI × education × open</x:v>
      </x:c>
      <x:c r="H81" s="3" t="str">
        <x:v>High on artifact; medium on legal reuse</x:v>
      </x:c>
      <x:c r="I81" s="9" t="n">
        <x:v>46268</x:v>
      </x:c>
      <x:c r="J81" s="11" t="n">
        <x:f>IF(COUNTIF($E$6:E81,E81)=1,1,0)</x:f>
        <x:v>1</x:v>
      </x:c>
      <x:c r="K81" s="11" t="str">
        <x:v>Research / evaluation</x:v>
      </x:c>
    </x:row>
    <x:row r="82" ht="32" customHeight="1">
      <x:c r="A82" s="3" t="str">
        <x:v>P042</x:v>
      </x:c>
      <x:c r="B82" s="3" t="str">
        <x:v>MathTutorBench</x:v>
      </x:c>
      <x:c r="C82" s="3" t="n">
        <x:v>1</x:v>
      </x:c>
      <x:c r="D82" s="3" t="str">
        <x:v>Repository</x:v>
      </x:c>
      <x:c r="E82" s="3" t="str">
        <x:v>https://github.com/eth-lre/mathtutorbench</x:v>
      </x:c>
      <x:c r="F82" s="3" t="str">
        <x:v>Status, purpose, outputs and/or stewardship</x:v>
      </x:c>
      <x:c r="G82" s="3" t="str">
        <x:v>AI × education × open</x:v>
      </x:c>
      <x:c r="H82" s="3" t="str">
        <x:v>High on existence; lower on effects</x:v>
      </x:c>
      <x:c r="I82" s="9" t="n">
        <x:v>46268</x:v>
      </x:c>
      <x:c r="J82" s="11" t="n">
        <x:f>IF(COUNTIF($E$6:E82,E82)=1,1,0)</x:f>
        <x:v>1</x:v>
      </x:c>
      <x:c r="K82" s="11" t="str">
        <x:v>Repository</x:v>
      </x:c>
    </x:row>
    <x:row r="83" ht="38" customHeight="1">
      <x:c r="A83" s="3" t="str">
        <x:v>P042</x:v>
      </x:c>
      <x:c r="B83" s="3" t="str">
        <x:v>MathTutorBench</x:v>
      </x:c>
      <x:c r="C83" s="3" t="n">
        <x:v>2</x:v>
      </x:c>
      <x:c r="D83" s="3" t="str">
        <x:v>Research / evaluation</x:v>
      </x:c>
      <x:c r="E83" s="3" t="str">
        <x:v>https://aclanthology.org/2025.emnlp-main.11/</x:v>
      </x:c>
      <x:c r="F83" s="3" t="str">
        <x:v>Technical, licence, evaluation or corroborating detail</x:v>
      </x:c>
      <x:c r="G83" s="3" t="str">
        <x:v>AI × education × open</x:v>
      </x:c>
      <x:c r="H83" s="3" t="str">
        <x:v>High on existence; lower on effects</x:v>
      </x:c>
      <x:c r="I83" s="9" t="n">
        <x:v>46268</x:v>
      </x:c>
      <x:c r="J83" s="11" t="n">
        <x:f>IF(COUNTIF($E$6:E83,E83)=1,1,0)</x:f>
        <x:v>1</x:v>
      </x:c>
      <x:c r="K83" s="11" t="str">
        <x:v>Research / evaluation</x:v>
      </x:c>
    </x:row>
    <x:row r="84" ht="32" customHeight="1">
      <x:c r="A84" s="3" t="str">
        <x:v>P043</x:v>
      </x:c>
      <x:c r="B84" s="3" t="str">
        <x:v>TutorMoments-Preview</x:v>
      </x:c>
      <x:c r="C84" s="3" t="n">
        <x:v>1</x:v>
      </x:c>
      <x:c r="D84" s="3" t="str">
        <x:v>Project / steward</x:v>
      </x:c>
      <x:c r="E84" s="3" t="str">
        <x:v>https://tutormoments.allen.ai/</x:v>
      </x:c>
      <x:c r="F84" s="3" t="str">
        <x:v>Status, purpose, outputs and/or stewardship</x:v>
      </x:c>
      <x:c r="G84" s="3" t="str">
        <x:v>AI × education × open</x:v>
      </x:c>
      <x:c r="H84" s="3" t="str">
        <x:v>High on existence; lower on effects</x:v>
      </x:c>
      <x:c r="I84" s="9" t="n">
        <x:v>46268</x:v>
      </x:c>
      <x:c r="J84" s="11" t="n">
        <x:f>IF(COUNTIF($E$6:E84,E84)=1,1,0)</x:f>
        <x:v>1</x:v>
      </x:c>
      <x:c r="K84" s="11" t="str">
        <x:v>Project / steward</x:v>
      </x:c>
    </x:row>
    <x:row r="85" ht="38" customHeight="1">
      <x:c r="A85" s="3" t="str">
        <x:v>P043</x:v>
      </x:c>
      <x:c r="B85" s="3" t="str">
        <x:v>TutorMoments-Preview</x:v>
      </x:c>
      <x:c r="C85" s="3" t="n">
        <x:v>2</x:v>
      </x:c>
      <x:c r="D85" s="3" t="str">
        <x:v>Repository</x:v>
      </x:c>
      <x:c r="E85" s="3" t="str">
        <x:v>https://github.com/allenai/tutormoments</x:v>
      </x:c>
      <x:c r="F85" s="3" t="str">
        <x:v>Technical, licence, evaluation or corroborating detail</x:v>
      </x:c>
      <x:c r="G85" s="3" t="str">
        <x:v>AI × education × open</x:v>
      </x:c>
      <x:c r="H85" s="3" t="str">
        <x:v>High on existence; lower on effects</x:v>
      </x:c>
      <x:c r="I85" s="9" t="n">
        <x:v>46268</x:v>
      </x:c>
      <x:c r="J85" s="11" t="n">
        <x:f>IF(COUNTIF($E$6:E85,E85)=1,1,0)</x:f>
        <x:v>1</x:v>
      </x:c>
      <x:c r="K85" s="11" t="str">
        <x:v>Repository</x:v>
      </x:c>
    </x:row>
    <x:row r="86" ht="32" customHeight="1">
      <x:c r="A86" s="3" t="str">
        <x:v>P044</x:v>
      </x:c>
      <x:c r="B86" s="3" t="str">
        <x:v>Open TutorAI Community Edition</x:v>
      </x:c>
      <x:c r="C86" s="3" t="n">
        <x:v>1</x:v>
      </x:c>
      <x:c r="D86" s="3" t="str">
        <x:v>Repository</x:v>
      </x:c>
      <x:c r="E86" s="3" t="str">
        <x:v>https://github.com/Open-TutorAi/open-tutor-ai-CE</x:v>
      </x:c>
      <x:c r="F86" s="3" t="str">
        <x:v>Status, purpose, outputs and/or stewardship</x:v>
      </x:c>
      <x:c r="G86" s="3" t="str">
        <x:v>AI × education × open</x:v>
      </x:c>
      <x:c r="H86" s="3" t="str">
        <x:v>High on existence; lower on effects</x:v>
      </x:c>
      <x:c r="I86" s="9" t="n">
        <x:v>46268</x:v>
      </x:c>
      <x:c r="J86" s="11" t="n">
        <x:f>IF(COUNTIF($E$6:E86,E86)=1,1,0)</x:f>
        <x:v>1</x:v>
      </x:c>
      <x:c r="K86" s="11" t="str">
        <x:v>Repository</x:v>
      </x:c>
    </x:row>
    <x:row r="87" ht="38" customHeight="1">
      <x:c r="A87" s="3" t="str">
        <x:v>P044</x:v>
      </x:c>
      <x:c r="B87" s="3" t="str">
        <x:v>Open TutorAI Community Edition</x:v>
      </x:c>
      <x:c r="C87" s="3" t="n">
        <x:v>2</x:v>
      </x:c>
      <x:c r="D87" s="3" t="str">
        <x:v>Research / evaluation</x:v>
      </x:c>
      <x:c r="E87" s="3" t="str">
        <x:v>https://arxiv.org/abs/2602.07176</x:v>
      </x:c>
      <x:c r="F87" s="3" t="str">
        <x:v>Technical, licence, evaluation or corroborating detail</x:v>
      </x:c>
      <x:c r="G87" s="3" t="str">
        <x:v>AI × education × open</x:v>
      </x:c>
      <x:c r="H87" s="3" t="str">
        <x:v>High on existence; lower on effects</x:v>
      </x:c>
      <x:c r="I87" s="9" t="n">
        <x:v>46268</x:v>
      </x:c>
      <x:c r="J87" s="11" t="n">
        <x:f>IF(COUNTIF($E$6:E87,E87)=1,1,0)</x:f>
        <x:v>1</x:v>
      </x:c>
      <x:c r="K87" s="11" t="str">
        <x:v>Research / evaluation</x:v>
      </x:c>
    </x:row>
    <x:row r="88" ht="32" customHeight="1">
      <x:c r="A88" s="3" t="str">
        <x:v>P045</x:v>
      </x:c>
      <x:c r="B88" s="3" t="str">
        <x:v>X5GON</x:v>
      </x:c>
      <x:c r="C88" s="3" t="n">
        <x:v>1</x:v>
      </x:c>
      <x:c r="D88" s="3" t="str">
        <x:v>Government / intergovernmental</x:v>
      </x:c>
      <x:c r="E88" s="3" t="str">
        <x:v>https://cordis.europa.eu/project/id/761758</x:v>
      </x:c>
      <x:c r="F88" s="3" t="str">
        <x:v>Status, purpose, outputs and/or stewardship</x:v>
      </x:c>
      <x:c r="G88" s="3" t="str">
        <x:v>AI × education × open</x:v>
      </x:c>
      <x:c r="H88" s="3" t="str">
        <x:v>High on existence; lower on effects</x:v>
      </x:c>
      <x:c r="I88" s="9" t="n">
        <x:v>46268</x:v>
      </x:c>
      <x:c r="J88" s="11" t="n">
        <x:f>IF(COUNTIF($E$6:E88,E88)=1,1,0)</x:f>
        <x:v>1</x:v>
      </x:c>
      <x:c r="K88" s="11" t="str">
        <x:v>Government / intergovernmental</x:v>
      </x:c>
    </x:row>
    <x:row r="89" ht="38" customHeight="1">
      <x:c r="A89" s="3" t="str">
        <x:v>P045</x:v>
      </x:c>
      <x:c r="B89" s="3" t="str">
        <x:v>X5GON</x:v>
      </x:c>
      <x:c r="C89" s="3" t="n">
        <x:v>2</x:v>
      </x:c>
      <x:c r="D89" s="3" t="str">
        <x:v>Repository</x:v>
      </x:c>
      <x:c r="E89" s="3" t="str">
        <x:v>https://github.com/X5GON</x:v>
      </x:c>
      <x:c r="F89" s="3" t="str">
        <x:v>Technical, licence, evaluation or corroborating detail</x:v>
      </x:c>
      <x:c r="G89" s="3" t="str">
        <x:v>AI × education × open</x:v>
      </x:c>
      <x:c r="H89" s="3" t="str">
        <x:v>High on existence; lower on effects</x:v>
      </x:c>
      <x:c r="I89" s="9" t="n">
        <x:v>46268</x:v>
      </x:c>
      <x:c r="J89" s="11" t="n">
        <x:f>IF(COUNTIF($E$6:E89,E89)=1,1,0)</x:f>
        <x:v>1</x:v>
      </x:c>
      <x:c r="K89" s="11" t="str">
        <x:v>Repository</x:v>
      </x:c>
    </x:row>
    <x:row r="90" ht="32" customHeight="1">
      <x:c r="A90" s="3" t="str">
        <x:v>P046</x:v>
      </x:c>
      <x:c r="B90" s="3" t="str">
        <x:v>OpenEduHub / WirLernenOnline / ITs.JOINTLY</x:v>
      </x:c>
      <x:c r="C90" s="3" t="n">
        <x:v>1</x:v>
      </x:c>
      <x:c r="D90" s="3" t="str">
        <x:v>Project / steward</x:v>
      </x:c>
      <x:c r="E90" s="3" t="str">
        <x:v>https://edu-sharing-network.org/</x:v>
      </x:c>
      <x:c r="F90" s="3" t="str">
        <x:v>Status, purpose, outputs and/or stewardship</x:v>
      </x:c>
      <x:c r="G90" s="3" t="str">
        <x:v>AI × education × open</x:v>
      </x:c>
      <x:c r="H90" s="3" t="str">
        <x:v>High on existence; lower on effects</x:v>
      </x:c>
      <x:c r="I90" s="9" t="n">
        <x:v>46268</x:v>
      </x:c>
      <x:c r="J90" s="11" t="n">
        <x:f>IF(COUNTIF($E$6:E90,E90)=1,1,0)</x:f>
        <x:v>1</x:v>
      </x:c>
      <x:c r="K90" s="11" t="str">
        <x:v>Project / steward</x:v>
      </x:c>
    </x:row>
    <x:row r="91" ht="38" customHeight="1">
      <x:c r="A91" s="3" t="str">
        <x:v>P046</x:v>
      </x:c>
      <x:c r="B91" s="3" t="str">
        <x:v>OpenEduHub / WirLernenOnline / ITs.JOINTLY</x:v>
      </x:c>
      <x:c r="C91" s="3" t="n">
        <x:v>2</x:v>
      </x:c>
      <x:c r="D91" s="3" t="str">
        <x:v>Repository</x:v>
      </x:c>
      <x:c r="E91" s="3" t="str">
        <x:v>https://github.com/openeduhub</x:v>
      </x:c>
      <x:c r="F91" s="3" t="str">
        <x:v>Technical, licence, evaluation or corroborating detail</x:v>
      </x:c>
      <x:c r="G91" s="3" t="str">
        <x:v>AI × education × open</x:v>
      </x:c>
      <x:c r="H91" s="3" t="str">
        <x:v>High on existence; lower on effects</x:v>
      </x:c>
      <x:c r="I91" s="9" t="n">
        <x:v>46268</x:v>
      </x:c>
      <x:c r="J91" s="11" t="n">
        <x:f>IF(COUNTIF($E$6:E91,E91)=1,1,0)</x:f>
        <x:v>1</x:v>
      </x:c>
      <x:c r="K91" s="11" t="str">
        <x:v>Repository</x:v>
      </x:c>
    </x:row>
    <x:row r="92" ht="32" customHeight="1">
      <x:c r="A92" s="3" t="str">
        <x:v>P047</x:v>
      </x:c>
      <x:c r="B92" s="3" t="str">
        <x:v>K–12 AI Infrastructure Program</x:v>
      </x:c>
      <x:c r="C92" s="3" t="n">
        <x:v>1</x:v>
      </x:c>
      <x:c r="D92" s="3" t="str">
        <x:v>Project / steward</x:v>
      </x:c>
      <x:c r="E92" s="3" t="str">
        <x:v>https://k12-ai-infrastructure.org/</x:v>
      </x:c>
      <x:c r="F92" s="3" t="str">
        <x:v>Status, purpose, outputs and/or stewardship</x:v>
      </x:c>
      <x:c r="G92" s="3" t="str">
        <x:v>AI × education × open</x:v>
      </x:c>
      <x:c r="H92" s="3" t="str">
        <x:v>High on existence; lower on effects</x:v>
      </x:c>
      <x:c r="I92" s="9" t="n">
        <x:v>46268</x:v>
      </x:c>
      <x:c r="J92" s="11" t="n">
        <x:f>IF(COUNTIF($E$6:E92,E92)=1,1,0)</x:f>
        <x:v>1</x:v>
      </x:c>
      <x:c r="K92" s="11" t="str">
        <x:v>Project / steward</x:v>
      </x:c>
    </x:row>
    <x:row r="93" ht="38" customHeight="1">
      <x:c r="A93" s="3" t="str">
        <x:v>P047</x:v>
      </x:c>
      <x:c r="B93" s="3" t="str">
        <x:v>K–12 AI Infrastructure Program</x:v>
      </x:c>
      <x:c r="C93" s="3" t="n">
        <x:v>2</x:v>
      </x:c>
      <x:c r="D93" s="3" t="str">
        <x:v>Project / steward</x:v>
      </x:c>
      <x:c r="E93" s="3" t="str">
        <x:v>https://digitalpromise.org/2026/06/29/digital-promise-announces-first-grantees-of-the-k-12-ai-infrastructure-program/</x:v>
      </x:c>
      <x:c r="F93" s="3" t="str">
        <x:v>Technical, licence, evaluation or corroborating detail</x:v>
      </x:c>
      <x:c r="G93" s="3" t="str">
        <x:v>AI × education × open</x:v>
      </x:c>
      <x:c r="H93" s="3" t="str">
        <x:v>High on existence; lower on effects</x:v>
      </x:c>
      <x:c r="I93" s="9" t="n">
        <x:v>46268</x:v>
      </x:c>
      <x:c r="J93" s="11" t="n">
        <x:f>IF(COUNTIF($E$6:E93,E93)=1,1,0)</x:f>
        <x:v>1</x:v>
      </x:c>
      <x:c r="K93" s="11" t="str">
        <x:v>Project / steward</x:v>
      </x:c>
    </x:row>
    <x:row r="94" ht="38" customHeight="1">
      <x:c r="A94" s="3" t="str">
        <x:v>P048</x:v>
      </x:c>
      <x:c r="B94" s="3" t="str">
        <x:v>EDU AI — Open Source AI Model for Tutoring RFP</x:v>
      </x:c>
      <x:c r="C94" s="3" t="n">
        <x:v>1</x:v>
      </x:c>
      <x:c r="D94" s="3" t="str">
        <x:v>Project / steward</x:v>
      </x:c>
      <x:c r="E94" s="3" t="str">
        <x:v>https://k12-ai-infrastructure.org/edu-ai-rfp/</x:v>
      </x:c>
      <x:c r="F94" s="3" t="str">
        <x:v>Status, purpose, outputs and/or stewardship</x:v>
      </x:c>
      <x:c r="G94" s="3" t="str">
        <x:v>AI × education × open</x:v>
      </x:c>
      <x:c r="H94" s="3" t="str">
        <x:v>High on existence; lower on effects</x:v>
      </x:c>
      <x:c r="I94" s="9" t="n">
        <x:v>46268</x:v>
      </x:c>
      <x:c r="J94" s="11" t="n">
        <x:f>IF(COUNTIF($E$6:E94,E94)=1,1,0)</x:f>
        <x:v>1</x:v>
      </x:c>
      <x:c r="K94" s="11" t="str">
        <x:v>Project / steward</x:v>
      </x:c>
    </x:row>
    <x:row r="95" ht="38" customHeight="1">
      <x:c r="A95" s="3" t="str">
        <x:v>P048</x:v>
      </x:c>
      <x:c r="B95" s="3" t="str">
        <x:v>EDU AI — Open Source AI Model for Tutoring RFP</x:v>
      </x:c>
      <x:c r="C95" s="3" t="n">
        <x:v>2</x:v>
      </x:c>
      <x:c r="D95" s="3" t="str">
        <x:v>Project / steward</x:v>
      </x:c>
      <x:c r="E95" s="3" t="str">
        <x:v>https://www.gatesfoundation.org/about/committed-grants/2025/12/inv-086095</x:v>
      </x:c>
      <x:c r="F95" s="3" t="str">
        <x:v>Technical, licence, evaluation or corroborating detail</x:v>
      </x:c>
      <x:c r="G95" s="3" t="str">
        <x:v>AI × education × open</x:v>
      </x:c>
      <x:c r="H95" s="3" t="str">
        <x:v>High on existence; lower on effects</x:v>
      </x:c>
      <x:c r="I95" s="9" t="n">
        <x:v>46268</x:v>
      </x:c>
      <x:c r="J95" s="11" t="n">
        <x:f>IF(COUNTIF($E$6:E95,E95)=1,1,0)</x:f>
        <x:v>1</x:v>
      </x:c>
      <x:c r="K95" s="11" t="str">
        <x:v>Project / steward</x:v>
      </x:c>
    </x:row>
    <x:row r="96" ht="38" customHeight="1">
      <x:c r="A96" s="3" t="str">
        <x:v>P049</x:v>
      </x:c>
      <x:c r="B96" s="3" t="str">
        <x:v>National Tutoring Observatory / Million Tutor Moves</x:v>
      </x:c>
      <x:c r="C96" s="3" t="n">
        <x:v>1</x:v>
      </x:c>
      <x:c r="D96" s="3" t="str">
        <x:v>Project / steward</x:v>
      </x:c>
      <x:c r="E96" s="3" t="str">
        <x:v>https://nationaltutoringobservatory.org/</x:v>
      </x:c>
      <x:c r="F96" s="3" t="str">
        <x:v>Status, purpose, outputs and/or stewardship</x:v>
      </x:c>
      <x:c r="G96" s="3" t="str">
        <x:v>AI × education × open</x:v>
      </x:c>
      <x:c r="H96" s="3" t="str">
        <x:v>High on existence; lower on effects</x:v>
      </x:c>
      <x:c r="I96" s="9" t="n">
        <x:v>46268</x:v>
      </x:c>
      <x:c r="J96" s="11" t="n">
        <x:f>IF(COUNTIF($E$6:E96,E96)=1,1,0)</x:f>
        <x:v>1</x:v>
      </x:c>
      <x:c r="K96" s="11" t="str">
        <x:v>Project / steward</x:v>
      </x:c>
    </x:row>
    <x:row r="97" ht="38" customHeight="1">
      <x:c r="A97" s="3" t="str">
        <x:v>P049</x:v>
      </x:c>
      <x:c r="B97" s="3" t="str">
        <x:v>National Tutoring Observatory / Million Tutor Moves</x:v>
      </x:c>
      <x:c r="C97" s="3" t="n">
        <x:v>2</x:v>
      </x:c>
      <x:c r="D97" s="3" t="str">
        <x:v>Repository</x:v>
      </x:c>
      <x:c r="E97" s="3" t="str">
        <x:v>https://github.com/National-Tutoring-Observatory/Baseline_Performance_Pipeline</x:v>
      </x:c>
      <x:c r="F97" s="3" t="str">
        <x:v>Technical, licence, evaluation or corroborating detail</x:v>
      </x:c>
      <x:c r="G97" s="3" t="str">
        <x:v>AI × education × open</x:v>
      </x:c>
      <x:c r="H97" s="3" t="str">
        <x:v>High on existence; lower on effects</x:v>
      </x:c>
      <x:c r="I97" s="9" t="n">
        <x:v>46268</x:v>
      </x:c>
      <x:c r="J97" s="11" t="n">
        <x:f>IF(COUNTIF($E$6:E97,E97)=1,1,0)</x:f>
        <x:v>1</x:v>
      </x:c>
      <x:c r="K97" s="11" t="str">
        <x:v>Repository</x:v>
      </x:c>
    </x:row>
    <x:row r="98" ht="32" customHeight="1">
      <x:c r="A98" s="3" t="str">
        <x:v>P050</x:v>
      </x:c>
      <x:c r="B98" s="3" t="str">
        <x:v>DrawEduMath</x:v>
      </x:c>
      <x:c r="C98" s="3" t="n">
        <x:v>1</x:v>
      </x:c>
      <x:c r="D98" s="3" t="str">
        <x:v>Project / steward</x:v>
      </x:c>
      <x:c r="E98" s="3" t="str">
        <x:v>https://drawedumath.org/</x:v>
      </x:c>
      <x:c r="F98" s="3" t="str">
        <x:v>Status, purpose, outputs and/or stewardship</x:v>
      </x:c>
      <x:c r="G98" s="3" t="str">
        <x:v>AI × education × open</x:v>
      </x:c>
      <x:c r="H98" s="3" t="str">
        <x:v>High on existence; lower on effects</x:v>
      </x:c>
      <x:c r="I98" s="9" t="n">
        <x:v>46268</x:v>
      </x:c>
      <x:c r="J98" s="11" t="n">
        <x:f>IF(COUNTIF($E$6:E98,E98)=1,1,0)</x:f>
        <x:v>1</x:v>
      </x:c>
      <x:c r="K98" s="11" t="str">
        <x:v>Project / steward</x:v>
      </x:c>
    </x:row>
    <x:row r="99" ht="38" customHeight="1">
      <x:c r="A99" s="3" t="str">
        <x:v>P050</x:v>
      </x:c>
      <x:c r="B99" s="3" t="str">
        <x:v>DrawEduMath</x:v>
      </x:c>
      <x:c r="C99" s="3" t="n">
        <x:v>2</x:v>
      </x:c>
      <x:c r="D99" s="3" t="str">
        <x:v>Research / evaluation</x:v>
      </x:c>
      <x:c r="E99" s="3" t="str">
        <x:v>https://arxiv.org/abs/2501.14877</x:v>
      </x:c>
      <x:c r="F99" s="3" t="str">
        <x:v>Technical, licence, evaluation or corroborating detail</x:v>
      </x:c>
      <x:c r="G99" s="3" t="str">
        <x:v>AI × education × open</x:v>
      </x:c>
      <x:c r="H99" s="3" t="str">
        <x:v>High on existence; lower on effects</x:v>
      </x:c>
      <x:c r="I99" s="9" t="n">
        <x:v>46268</x:v>
      </x:c>
      <x:c r="J99" s="11" t="n">
        <x:f>IF(COUNTIF($E$6:E99,E99)=1,1,0)</x:f>
        <x:v>1</x:v>
      </x:c>
      <x:c r="K99" s="11" t="str">
        <x:v>Research / evaluation</x:v>
      </x:c>
    </x:row>
    <x:row r="100" ht="32" customHeight="1">
      <x:c r="A100" s="3" t="str">
        <x:v>P051</x:v>
      </x:c>
      <x:c r="B100" s="3" t="str">
        <x:v>BHASHINI / ULCA</x:v>
      </x:c>
      <x:c r="C100" s="3" t="n">
        <x:v>1</x:v>
      </x:c>
      <x:c r="D100" s="3" t="str">
        <x:v>Government / intergovernmental</x:v>
      </x:c>
      <x:c r="E100" s="3" t="str">
        <x:v>https://www.pib.gov.in/PressReleasePage.aspx?PRID=2039811</x:v>
      </x:c>
      <x:c r="F100" s="3" t="str">
        <x:v>Status, purpose, outputs and/or stewardship</x:v>
      </x:c>
      <x:c r="G100" s="3" t="str">
        <x:v>AI × education × open</x:v>
      </x:c>
      <x:c r="H100" s="3" t="str">
        <x:v>High on existence; lower on effects</x:v>
      </x:c>
      <x:c r="I100" s="9" t="n">
        <x:v>46268</x:v>
      </x:c>
      <x:c r="J100" s="11" t="n">
        <x:f>IF(COUNTIF($E$6:E100,E100)=1,1,0)</x:f>
        <x:v>1</x:v>
      </x:c>
      <x:c r="K100" s="11" t="str">
        <x:v>Government / intergovernmental</x:v>
      </x:c>
    </x:row>
    <x:row r="101" ht="38" customHeight="1">
      <x:c r="A101" s="3" t="str">
        <x:v>P051</x:v>
      </x:c>
      <x:c r="B101" s="3" t="str">
        <x:v>BHASHINI / ULCA</x:v>
      </x:c>
      <x:c r="C101" s="3" t="n">
        <x:v>2</x:v>
      </x:c>
      <x:c r="D101" s="3" t="str">
        <x:v>Repository</x:v>
      </x:c>
      <x:c r="E101" s="3" t="str">
        <x:v>https://github.com/bhashini-dibd</x:v>
      </x:c>
      <x:c r="F101" s="3" t="str">
        <x:v>Technical, licence, evaluation or corroborating detail</x:v>
      </x:c>
      <x:c r="G101" s="3" t="str">
        <x:v>AI × education × open</x:v>
      </x:c>
      <x:c r="H101" s="3" t="str">
        <x:v>High on existence; lower on effects</x:v>
      </x:c>
      <x:c r="I101" s="9" t="n">
        <x:v>46268</x:v>
      </x:c>
      <x:c r="J101" s="11" t="n">
        <x:f>IF(COUNTIF($E$6:E101,E101)=1,1,0)</x:f>
        <x:v>1</x:v>
      </x:c>
      <x:c r="K101" s="11" t="str">
        <x:v>Repository</x:v>
      </x:c>
    </x:row>
    <x:row r="102" ht="32" customHeight="1">
      <x:c r="A102" s="3" t="str">
        <x:v>P052</x:v>
      </x:c>
      <x:c r="B102" s="3" t="str">
        <x:v>Moodle AI Subsystem</x:v>
      </x:c>
      <x:c r="C102" s="3" t="n">
        <x:v>1</x:v>
      </x:c>
      <x:c r="D102" s="3" t="str">
        <x:v>Project / steward</x:v>
      </x:c>
      <x:c r="E102" s="3" t="str">
        <x:v>https://moodledev.io/docs/4.5/apis/subsystems/ai</x:v>
      </x:c>
      <x:c r="F102" s="3" t="str">
        <x:v>Status, purpose, outputs and/or stewardship</x:v>
      </x:c>
      <x:c r="G102" s="3" t="str">
        <x:v>AI × education × open</x:v>
      </x:c>
      <x:c r="H102" s="3" t="str">
        <x:v>High on existence; lower on effects</x:v>
      </x:c>
      <x:c r="I102" s="9" t="n">
        <x:v>46268</x:v>
      </x:c>
      <x:c r="J102" s="11" t="n">
        <x:f>IF(COUNTIF($E$6:E102,E102)=1,1,0)</x:f>
        <x:v>1</x:v>
      </x:c>
      <x:c r="K102" s="11" t="str">
        <x:v>Project / steward</x:v>
      </x:c>
    </x:row>
    <x:row r="103" ht="38" customHeight="1">
      <x:c r="A103" s="3" t="str">
        <x:v>P052</x:v>
      </x:c>
      <x:c r="B103" s="3" t="str">
        <x:v>Moodle AI Subsystem</x:v>
      </x:c>
      <x:c r="C103" s="3" t="n">
        <x:v>2</x:v>
      </x:c>
      <x:c r="D103" s="3" t="str">
        <x:v>Project / steward</x:v>
      </x:c>
      <x:c r="E103" s="3" t="str">
        <x:v>https://docs.moodle.org/en/AI_tools</x:v>
      </x:c>
      <x:c r="F103" s="3" t="str">
        <x:v>Technical, licence, evaluation or corroborating detail</x:v>
      </x:c>
      <x:c r="G103" s="3" t="str">
        <x:v>AI × education × open</x:v>
      </x:c>
      <x:c r="H103" s="3" t="str">
        <x:v>High on existence; lower on effects</x:v>
      </x:c>
      <x:c r="I103" s="9" t="n">
        <x:v>46268</x:v>
      </x:c>
      <x:c r="J103" s="11" t="n">
        <x:f>IF(COUNTIF($E$6:E103,E103)=1,1,0)</x:f>
        <x:v>1</x:v>
      </x:c>
      <x:c r="K103" s="11" t="str">
        <x:v>Project / steward</x:v>
      </x:c>
    </x:row>
    <x:row r="104" ht="32" customHeight="1">
      <x:c r="A104" s="3" t="str">
        <x:v>P053</x:v>
      </x:c>
      <x:c r="B104" s="3" t="str">
        <x:v>ASSISTments + AIDA</x:v>
      </x:c>
      <x:c r="C104" s="3" t="n">
        <x:v>1</x:v>
      </x:c>
      <x:c r="D104" s="3" t="str">
        <x:v>Project / steward</x:v>
      </x:c>
      <x:c r="E104" s="3" t="str">
        <x:v>https://www.assistments.org/</x:v>
      </x:c>
      <x:c r="F104" s="3" t="str">
        <x:v>Status, purpose, outputs and/or stewardship</x:v>
      </x:c>
      <x:c r="G104" s="3" t="str">
        <x:v>AI × education × open</x:v>
      </x:c>
      <x:c r="H104" s="3" t="str">
        <x:v>High on existence; lower on effects</x:v>
      </x:c>
      <x:c r="I104" s="9" t="n">
        <x:v>46268</x:v>
      </x:c>
      <x:c r="J104" s="11" t="n">
        <x:f>IF(COUNTIF($E$6:E104,E104)=1,1,0)</x:f>
        <x:v>1</x:v>
      </x:c>
      <x:c r="K104" s="11" t="str">
        <x:v>Project / steward</x:v>
      </x:c>
    </x:row>
    <x:row r="105" ht="51" customHeight="1">
      <x:c r="A105" s="3" t="str">
        <x:v>P053</x:v>
      </x:c>
      <x:c r="B105" s="3" t="str">
        <x:v>ASSISTments + AIDA</x:v>
      </x:c>
      <x:c r="C105" s="3" t="n">
        <x:v>2</x:v>
      </x:c>
      <x:c r="D105" s="3" t="str">
        <x:v>Government / intergovernmental</x:v>
      </x:c>
      <x:c r="E105" s="3" t="str">
        <x:v>https://ies.ed.gov/use-work/awards/revisions-assistments-digital-learning-platform-expand-its-support-rigorous-education-research</x:v>
      </x:c>
      <x:c r="F105" s="3" t="str">
        <x:v>Technical, licence, evaluation or corroborating detail</x:v>
      </x:c>
      <x:c r="G105" s="3" t="str">
        <x:v>AI × education × open</x:v>
      </x:c>
      <x:c r="H105" s="3" t="str">
        <x:v>High on existence; lower on effects</x:v>
      </x:c>
      <x:c r="I105" s="9" t="n">
        <x:v>46268</x:v>
      </x:c>
      <x:c r="J105" s="11" t="n">
        <x:f>IF(COUNTIF($E$6:E105,E105)=1,1,0)</x:f>
        <x:v>1</x:v>
      </x:c>
      <x:c r="K105" s="11" t="str">
        <x:v>Government / intergovernmental</x:v>
      </x:c>
    </x:row>
    <x:row r="106" ht="32" customHeight="1">
      <x:c r="A106" s="3" t="str">
        <x:v>P054</x:v>
      </x:c>
      <x:c r="B106" s="3" t="str">
        <x:v>EduChat</x:v>
      </x:c>
      <x:c r="C106" s="3" t="n">
        <x:v>1</x:v>
      </x:c>
      <x:c r="D106" s="3" t="str">
        <x:v>Repository</x:v>
      </x:c>
      <x:c r="E106" s="3" t="str">
        <x:v>https://github.com/ECNU-ICALK/EduChat</x:v>
      </x:c>
      <x:c r="F106" s="3" t="str">
        <x:v>Status, purpose, outputs and/or stewardship</x:v>
      </x:c>
      <x:c r="G106" s="3" t="str">
        <x:v>AI × education × open</x:v>
      </x:c>
      <x:c r="H106" s="3" t="str">
        <x:v>High on existence; lower on effects</x:v>
      </x:c>
      <x:c r="I106" s="9" t="n">
        <x:v>46268</x:v>
      </x:c>
      <x:c r="J106" s="11" t="n">
        <x:f>IF(COUNTIF($E$6:E106,E106)=1,1,0)</x:f>
        <x:v>1</x:v>
      </x:c>
      <x:c r="K106" s="11" t="str">
        <x:v>Repository</x:v>
      </x:c>
    </x:row>
    <x:row r="107" ht="38" customHeight="1">
      <x:c r="A107" s="3" t="str">
        <x:v>P054</x:v>
      </x:c>
      <x:c r="B107" s="3" t="str">
        <x:v>EduChat</x:v>
      </x:c>
      <x:c r="C107" s="3" t="n">
        <x:v>2</x:v>
      </x:c>
      <x:c r="D107" s="3" t="str">
        <x:v>Research / evaluation</x:v>
      </x:c>
      <x:c r="E107" s="3" t="str">
        <x:v>https://arxiv.org/abs/2308.02773</x:v>
      </x:c>
      <x:c r="F107" s="3" t="str">
        <x:v>Technical, licence, evaluation or corroborating detail</x:v>
      </x:c>
      <x:c r="G107" s="3" t="str">
        <x:v>AI × education × open</x:v>
      </x:c>
      <x:c r="H107" s="3" t="str">
        <x:v>High on existence; lower on effects</x:v>
      </x:c>
      <x:c r="I107" s="9" t="n">
        <x:v>46268</x:v>
      </x:c>
      <x:c r="J107" s="11" t="n">
        <x:f>IF(COUNTIF($E$6:E107,E107)=1,1,0)</x:f>
        <x:v>1</x:v>
      </x:c>
      <x:c r="K107" s="11" t="str">
        <x:v>Research / evaluation</x:v>
      </x:c>
    </x:row>
    <x:row r="108" ht="38" customHeight="1">
      <x:c r="A108" s="3" t="str">
        <x:v>P055</x:v>
      </x:c>
      <x:c r="B108" s="3" t="str">
        <x:v>1EdTech LTI / LTI Advantage + Common Cartridge</x:v>
      </x:c>
      <x:c r="C108" s="3" t="n">
        <x:v>1</x:v>
      </x:c>
      <x:c r="D108" s="3" t="str">
        <x:v>Standards body</x:v>
      </x:c>
      <x:c r="E108" s="3" t="str">
        <x:v>https://www.1edtech.org/standards/lti</x:v>
      </x:c>
      <x:c r="F108" s="3" t="str">
        <x:v>Status, purpose, outputs and/or stewardship</x:v>
      </x:c>
      <x:c r="G108" s="3" t="str">
        <x:v>Education × open standards</x:v>
      </x:c>
      <x:c r="H108" s="3" t="str">
        <x:v>High on specification; medium on adoption</x:v>
      </x:c>
      <x:c r="I108" s="9" t="n">
        <x:v>46268</x:v>
      </x:c>
      <x:c r="J108" s="11" t="n">
        <x:f>IF(COUNTIF($E$6:E108,E108)=1,1,0)</x:f>
        <x:v>1</x:v>
      </x:c>
      <x:c r="K108" s="11" t="str">
        <x:v>Standards body</x:v>
      </x:c>
    </x:row>
    <x:row r="109" ht="38" customHeight="1">
      <x:c r="A109" s="3" t="str">
        <x:v>P055</x:v>
      </x:c>
      <x:c r="B109" s="3" t="str">
        <x:v>1EdTech LTI / LTI Advantage + Common Cartridge</x:v>
      </x:c>
      <x:c r="C109" s="3" t="n">
        <x:v>2</x:v>
      </x:c>
      <x:c r="D109" s="3" t="str">
        <x:v>Standards body</x:v>
      </x:c>
      <x:c r="E109" s="3" t="str">
        <x:v>https://www.1edtech.org/standards/cc</x:v>
      </x:c>
      <x:c r="F109" s="3" t="str">
        <x:v>Technical, licence, evaluation or corroborating detail</x:v>
      </x:c>
      <x:c r="G109" s="3" t="str">
        <x:v>Education × open standards</x:v>
      </x:c>
      <x:c r="H109" s="3" t="str">
        <x:v>High on specification; medium on adoption</x:v>
      </x:c>
      <x:c r="I109" s="9" t="n">
        <x:v>46268</x:v>
      </x:c>
      <x:c r="J109" s="11" t="n">
        <x:f>IF(COUNTIF($E$6:E109,E109)=1,1,0)</x:f>
        <x:v>1</x:v>
      </x:c>
      <x:c r="K109" s="11" t="str">
        <x:v>Standards body</x:v>
      </x:c>
    </x:row>
    <x:row r="110" ht="38" customHeight="1">
      <x:c r="A110" s="3" t="str">
        <x:v>P056</x:v>
      </x:c>
      <x:c r="B110" s="3" t="str">
        <x:v>1EdTech Question &amp; Test Interoperability (QTI)</x:v>
      </x:c>
      <x:c r="C110" s="3" t="n">
        <x:v>1</x:v>
      </x:c>
      <x:c r="D110" s="3" t="str">
        <x:v>Standards body</x:v>
      </x:c>
      <x:c r="E110" s="3" t="str">
        <x:v>https://www.1edtech.org/standards/qti</x:v>
      </x:c>
      <x:c r="F110" s="3" t="str">
        <x:v>Status, purpose, outputs and/or stewardship</x:v>
      </x:c>
      <x:c r="G110" s="3" t="str">
        <x:v>Education × open standards</x:v>
      </x:c>
      <x:c r="H110" s="3" t="str">
        <x:v>High</x:v>
      </x:c>
      <x:c r="I110" s="9" t="n">
        <x:v>46268</x:v>
      </x:c>
      <x:c r="J110" s="11" t="n">
        <x:f>IF(COUNTIF($E$6:E110,E110)=1,1,0)</x:f>
        <x:v>1</x:v>
      </x:c>
      <x:c r="K110" s="11" t="str">
        <x:v>Standards body</x:v>
      </x:c>
    </x:row>
    <x:row r="111" ht="38" customHeight="1">
      <x:c r="A111" s="3" t="str">
        <x:v>P056</x:v>
      </x:c>
      <x:c r="B111" s="3" t="str">
        <x:v>1EdTech Question &amp; Test Interoperability (QTI)</x:v>
      </x:c>
      <x:c r="C111" s="3" t="n">
        <x:v>2</x:v>
      </x:c>
      <x:c r="D111" s="3" t="str">
        <x:v>Standards body</x:v>
      </x:c>
      <x:c r="E111" s="3" t="str">
        <x:v>https://www.1edtech.org/standards/qti/versions</x:v>
      </x:c>
      <x:c r="F111" s="3" t="str">
        <x:v>Technical, licence, evaluation or corroborating detail</x:v>
      </x:c>
      <x:c r="G111" s="3" t="str">
        <x:v>Education × open standards</x:v>
      </x:c>
      <x:c r="H111" s="3" t="str">
        <x:v>High</x:v>
      </x:c>
      <x:c r="I111" s="9" t="n">
        <x:v>46268</x:v>
      </x:c>
      <x:c r="J111" s="11" t="n">
        <x:f>IF(COUNTIF($E$6:E111,E111)=1,1,0)</x:f>
        <x:v>1</x:v>
      </x:c>
      <x:c r="K111" s="11" t="str">
        <x:v>Standards body</x:v>
      </x:c>
    </x:row>
    <x:row r="112" ht="32" customHeight="1">
      <x:c r="A112" s="3" t="str">
        <x:v>P057</x:v>
      </x:c>
      <x:c r="B112" s="3" t="str">
        <x:v>1EdTech OneRoster + Edu-API</x:v>
      </x:c>
      <x:c r="C112" s="3" t="n">
        <x:v>1</x:v>
      </x:c>
      <x:c r="D112" s="3" t="str">
        <x:v>Standards body</x:v>
      </x:c>
      <x:c r="E112" s="3" t="str">
        <x:v>https://www.1edtech.org/standards/oneroster</x:v>
      </x:c>
      <x:c r="F112" s="3" t="str">
        <x:v>Status, purpose, outputs and/or stewardship</x:v>
      </x:c>
      <x:c r="G112" s="3" t="str">
        <x:v>Education × open standards</x:v>
      </x:c>
      <x:c r="H112" s="3" t="str">
        <x:v>High on existence; lower on effects</x:v>
      </x:c>
      <x:c r="I112" s="9" t="n">
        <x:v>46268</x:v>
      </x:c>
      <x:c r="J112" s="11" t="n">
        <x:f>IF(COUNTIF($E$6:E112,E112)=1,1,0)</x:f>
        <x:v>1</x:v>
      </x:c>
      <x:c r="K112" s="11" t="str">
        <x:v>Standards body</x:v>
      </x:c>
    </x:row>
    <x:row r="113" ht="38" customHeight="1">
      <x:c r="A113" s="3" t="str">
        <x:v>P057</x:v>
      </x:c>
      <x:c r="B113" s="3" t="str">
        <x:v>1EdTech OneRoster + Edu-API</x:v>
      </x:c>
      <x:c r="C113" s="3" t="n">
        <x:v>2</x:v>
      </x:c>
      <x:c r="D113" s="3" t="str">
        <x:v>Standards body</x:v>
      </x:c>
      <x:c r="E113" s="3" t="str">
        <x:v>https://www.1edtech.org/standards/edu-api</x:v>
      </x:c>
      <x:c r="F113" s="3" t="str">
        <x:v>Technical, licence, evaluation or corroborating detail</x:v>
      </x:c>
      <x:c r="G113" s="3" t="str">
        <x:v>Education × open standards</x:v>
      </x:c>
      <x:c r="H113" s="3" t="str">
        <x:v>High on existence; lower on effects</x:v>
      </x:c>
      <x:c r="I113" s="9" t="n">
        <x:v>46268</x:v>
      </x:c>
      <x:c r="J113" s="11" t="n">
        <x:f>IF(COUNTIF($E$6:E113,E113)=1,1,0)</x:f>
        <x:v>1</x:v>
      </x:c>
      <x:c r="K113" s="11" t="str">
        <x:v>Standards body</x:v>
      </x:c>
    </x:row>
    <x:row r="114" ht="32" customHeight="1">
      <x:c r="A114" s="3" t="str">
        <x:v>P058</x:v>
      </x:c>
      <x:c r="B114" s="3" t="str">
        <x:v>1EdTech CASE</x:v>
      </x:c>
      <x:c r="C114" s="3" t="n">
        <x:v>1</x:v>
      </x:c>
      <x:c r="D114" s="3" t="str">
        <x:v>Standards body</x:v>
      </x:c>
      <x:c r="E114" s="3" t="str">
        <x:v>https://www.1edtech.org/standards/case</x:v>
      </x:c>
      <x:c r="F114" s="3" t="str">
        <x:v>Status, purpose, outputs and/or stewardship</x:v>
      </x:c>
      <x:c r="G114" s="3" t="str">
        <x:v>Education × open standards</x:v>
      </x:c>
      <x:c r="H114" s="3" t="str">
        <x:v>High on existence; lower on effects</x:v>
      </x:c>
      <x:c r="I114" s="9" t="n">
        <x:v>46268</x:v>
      </x:c>
      <x:c r="J114" s="11" t="n">
        <x:f>IF(COUNTIF($E$6:E114,E114)=1,1,0)</x:f>
        <x:v>1</x:v>
      </x:c>
      <x:c r="K114" s="11" t="str">
        <x:v>Standards body</x:v>
      </x:c>
    </x:row>
    <x:row r="115" ht="38" customHeight="1">
      <x:c r="A115" s="3" t="str">
        <x:v>P058</x:v>
      </x:c>
      <x:c r="B115" s="3" t="str">
        <x:v>1EdTech CASE</x:v>
      </x:c>
      <x:c r="C115" s="3" t="n">
        <x:v>2</x:v>
      </x:c>
      <x:c r="D115" s="3" t="str">
        <x:v>Standards body</x:v>
      </x:c>
      <x:c r="E115" s="3" t="str">
        <x:v>https://www.1edtech.org/standards/case/about</x:v>
      </x:c>
      <x:c r="F115" s="3" t="str">
        <x:v>Technical, licence, evaluation or corroborating detail</x:v>
      </x:c>
      <x:c r="G115" s="3" t="str">
        <x:v>Education × open standards</x:v>
      </x:c>
      <x:c r="H115" s="3" t="str">
        <x:v>High on existence; lower on effects</x:v>
      </x:c>
      <x:c r="I115" s="9" t="n">
        <x:v>46268</x:v>
      </x:c>
      <x:c r="J115" s="11" t="n">
        <x:f>IF(COUNTIF($E$6:E115,E115)=1,1,0)</x:f>
        <x:v>1</x:v>
      </x:c>
      <x:c r="K115" s="11" t="str">
        <x:v>Standards body</x:v>
      </x:c>
    </x:row>
    <x:row r="116" ht="32" customHeight="1">
      <x:c r="A116" s="3" t="str">
        <x:v>P059</x:v>
      </x:c>
      <x:c r="B116" s="3" t="str">
        <x:v>1EdTech Caliper Analytics</x:v>
      </x:c>
      <x:c r="C116" s="3" t="n">
        <x:v>1</x:v>
      </x:c>
      <x:c r="D116" s="3" t="str">
        <x:v>Standards body</x:v>
      </x:c>
      <x:c r="E116" s="3" t="str">
        <x:v>https://www.1edtech.org/standards/caliper</x:v>
      </x:c>
      <x:c r="F116" s="3" t="str">
        <x:v>Status, purpose, outputs and/or stewardship</x:v>
      </x:c>
      <x:c r="G116" s="3" t="str">
        <x:v>Education × open standards</x:v>
      </x:c>
      <x:c r="H116" s="3" t="str">
        <x:v>High on existence; lower on effects</x:v>
      </x:c>
      <x:c r="I116" s="9" t="n">
        <x:v>46268</x:v>
      </x:c>
      <x:c r="J116" s="11" t="n">
        <x:f>IF(COUNTIF($E$6:E116,E116)=1,1,0)</x:f>
        <x:v>1</x:v>
      </x:c>
      <x:c r="K116" s="11" t="str">
        <x:v>Standards body</x:v>
      </x:c>
    </x:row>
    <x:row r="117" ht="38" customHeight="1">
      <x:c r="A117" s="3" t="str">
        <x:v>P059</x:v>
      </x:c>
      <x:c r="B117" s="3" t="str">
        <x:v>1EdTech Caliper Analytics</x:v>
      </x:c>
      <x:c r="C117" s="3" t="n">
        <x:v>2</x:v>
      </x:c>
      <x:c r="D117" s="3" t="str">
        <x:v>Repository</x:v>
      </x:c>
      <x:c r="E117" s="3" t="str">
        <x:v>https://github.com/1EdTech/caliper-spec</x:v>
      </x:c>
      <x:c r="F117" s="3" t="str">
        <x:v>Technical, licence, evaluation or corroborating detail</x:v>
      </x:c>
      <x:c r="G117" s="3" t="str">
        <x:v>Education × open standards</x:v>
      </x:c>
      <x:c r="H117" s="3" t="str">
        <x:v>High on existence; lower on effects</x:v>
      </x:c>
      <x:c r="I117" s="9" t="n">
        <x:v>46268</x:v>
      </x:c>
      <x:c r="J117" s="11" t="n">
        <x:f>IF(COUNTIF($E$6:E117,E117)=1,1,0)</x:f>
        <x:v>1</x:v>
      </x:c>
      <x:c r="K117" s="11" t="str">
        <x:v>Repository</x:v>
      </x:c>
    </x:row>
    <x:row r="118" ht="38" customHeight="1">
      <x:c r="A118" s="3" t="str">
        <x:v>P060</x:v>
      </x:c>
      <x:c r="B118" s="3" t="str">
        <x:v>Open Badges 3.0 + Comprehensive Learner Record 2.0</x:v>
      </x:c>
      <x:c r="C118" s="3" t="n">
        <x:v>1</x:v>
      </x:c>
      <x:c r="D118" s="3" t="str">
        <x:v>Standards body</x:v>
      </x:c>
      <x:c r="E118" s="3" t="str">
        <x:v>https://www.imsglobal.org/spec/ob/v3p0/</x:v>
      </x:c>
      <x:c r="F118" s="3" t="str">
        <x:v>Status, purpose, outputs and/or stewardship</x:v>
      </x:c>
      <x:c r="G118" s="3" t="str">
        <x:v>Education × open standards</x:v>
      </x:c>
      <x:c r="H118" s="3" t="str">
        <x:v>High on existence; lower on effects</x:v>
      </x:c>
      <x:c r="I118" s="9" t="n">
        <x:v>46268</x:v>
      </x:c>
      <x:c r="J118" s="11" t="n">
        <x:f>IF(COUNTIF($E$6:E118,E118)=1,1,0)</x:f>
        <x:v>1</x:v>
      </x:c>
      <x:c r="K118" s="11" t="str">
        <x:v>Standards body</x:v>
      </x:c>
    </x:row>
    <x:row r="119" ht="38" customHeight="1">
      <x:c r="A119" s="3" t="str">
        <x:v>P060</x:v>
      </x:c>
      <x:c r="B119" s="3" t="str">
        <x:v>Open Badges 3.0 + Comprehensive Learner Record 2.0</x:v>
      </x:c>
      <x:c r="C119" s="3" t="n">
        <x:v>2</x:v>
      </x:c>
      <x:c r="D119" s="3" t="str">
        <x:v>Standards body</x:v>
      </x:c>
      <x:c r="E119" s="3" t="str">
        <x:v>https://www.imsglobal.org/spec/clr/v2p0</x:v>
      </x:c>
      <x:c r="F119" s="3" t="str">
        <x:v>Technical, licence, evaluation or corroborating detail</x:v>
      </x:c>
      <x:c r="G119" s="3" t="str">
        <x:v>Education × open standards</x:v>
      </x:c>
      <x:c r="H119" s="3" t="str">
        <x:v>High on existence; lower on effects</x:v>
      </x:c>
      <x:c r="I119" s="9" t="n">
        <x:v>46268</x:v>
      </x:c>
      <x:c r="J119" s="11" t="n">
        <x:f>IF(COUNTIF($E$6:E119,E119)=1,1,0)</x:f>
        <x:v>1</x:v>
      </x:c>
      <x:c r="K119" s="11" t="str">
        <x:v>Standards body</x:v>
      </x:c>
    </x:row>
    <x:row r="120" ht="32" customHeight="1">
      <x:c r="A120" s="3" t="str">
        <x:v>P061</x:v>
      </x:c>
      <x:c r="B120" s="3" t="str">
        <x:v>Experience API (xAPI) + cmi5</x:v>
      </x:c>
      <x:c r="C120" s="3" t="n">
        <x:v>1</x:v>
      </x:c>
      <x:c r="D120" s="3" t="str">
        <x:v>Repository</x:v>
      </x:c>
      <x:c r="E120" s="3" t="str">
        <x:v>https://github.com/adlnet/xAPI-Spec</x:v>
      </x:c>
      <x:c r="F120" s="3" t="str">
        <x:v>Status, purpose, outputs and/or stewardship</x:v>
      </x:c>
      <x:c r="G120" s="3" t="str">
        <x:v>Education × open standards</x:v>
      </x:c>
      <x:c r="H120" s="3" t="str">
        <x:v>High on existence; lower on effects</x:v>
      </x:c>
      <x:c r="I120" s="9" t="n">
        <x:v>46268</x:v>
      </x:c>
      <x:c r="J120" s="11" t="n">
        <x:f>IF(COUNTIF($E$6:E120,E120)=1,1,0)</x:f>
        <x:v>1</x:v>
      </x:c>
      <x:c r="K120" s="11" t="str">
        <x:v>Repository</x:v>
      </x:c>
    </x:row>
    <x:row r="121" ht="38" customHeight="1">
      <x:c r="A121" s="3" t="str">
        <x:v>P061</x:v>
      </x:c>
      <x:c r="B121" s="3" t="str">
        <x:v>Experience API (xAPI) + cmi5</x:v>
      </x:c>
      <x:c r="C121" s="3" t="n">
        <x:v>2</x:v>
      </x:c>
      <x:c r="D121" s="3" t="str">
        <x:v>Project / steward</x:v>
      </x:c>
      <x:c r="E121" s="3" t="str">
        <x:v>https://aicc.github.io/CMI-5_Spec_Current/</x:v>
      </x:c>
      <x:c r="F121" s="3" t="str">
        <x:v>Technical, licence, evaluation or corroborating detail</x:v>
      </x:c>
      <x:c r="G121" s="3" t="str">
        <x:v>Education × open standards</x:v>
      </x:c>
      <x:c r="H121" s="3" t="str">
        <x:v>High on existence; lower on effects</x:v>
      </x:c>
      <x:c r="I121" s="9" t="n">
        <x:v>46268</x:v>
      </x:c>
      <x:c r="J121" s="11" t="n">
        <x:f>IF(COUNTIF($E$6:E121,E121)=1,1,0)</x:f>
        <x:v>1</x:v>
      </x:c>
      <x:c r="K121" s="11" t="str">
        <x:v>Project / steward</x:v>
      </x:c>
    </x:row>
    <x:row r="122" ht="32" customHeight="1">
      <x:c r="A122" s="3" t="str">
        <x:v>P062</x:v>
      </x:c>
      <x:c r="B122" s="3" t="str">
        <x:v>Ed-Fi Data Standard and APIs</x:v>
      </x:c>
      <x:c r="C122" s="3" t="n">
        <x:v>1</x:v>
      </x:c>
      <x:c r="D122" s="3" t="str">
        <x:v>Project / steward</x:v>
      </x:c>
      <x:c r="E122" s="3" t="str">
        <x:v>https://docs.ed-fi.org/reference/</x:v>
      </x:c>
      <x:c r="F122" s="3" t="str">
        <x:v>Status, purpose, outputs and/or stewardship</x:v>
      </x:c>
      <x:c r="G122" s="3" t="str">
        <x:v>Education × open standards</x:v>
      </x:c>
      <x:c r="H122" s="3" t="str">
        <x:v>High on existence; lower on effects</x:v>
      </x:c>
      <x:c r="I122" s="9" t="n">
        <x:v>46268</x:v>
      </x:c>
      <x:c r="J122" s="11" t="n">
        <x:f>IF(COUNTIF($E$6:E122,E122)=1,1,0)</x:f>
        <x:v>1</x:v>
      </x:c>
      <x:c r="K122" s="11" t="str">
        <x:v>Project / steward</x:v>
      </x:c>
    </x:row>
    <x:row r="123" ht="38" customHeight="1">
      <x:c r="A123" s="3" t="str">
        <x:v>P062</x:v>
      </x:c>
      <x:c r="B123" s="3" t="str">
        <x:v>Ed-Fi Data Standard and APIs</x:v>
      </x:c>
      <x:c r="C123" s="3" t="n">
        <x:v>2</x:v>
      </x:c>
      <x:c r="D123" s="3" t="str">
        <x:v>Repository</x:v>
      </x:c>
      <x:c r="E123" s="3" t="str">
        <x:v>https://github.com/Ed-Fi-Alliance-OSS/Ed-Fi-Data-Standard</x:v>
      </x:c>
      <x:c r="F123" s="3" t="str">
        <x:v>Technical, licence, evaluation or corroborating detail</x:v>
      </x:c>
      <x:c r="G123" s="3" t="str">
        <x:v>Education × open standards</x:v>
      </x:c>
      <x:c r="H123" s="3" t="str">
        <x:v>High on existence; lower on effects</x:v>
      </x:c>
      <x:c r="I123" s="9" t="n">
        <x:v>46268</x:v>
      </x:c>
      <x:c r="J123" s="11" t="n">
        <x:f>IF(COUNTIF($E$6:E123,E123)=1,1,0)</x:f>
        <x:v>1</x:v>
      </x:c>
      <x:c r="K123" s="11" t="str">
        <x:v>Repository</x:v>
      </x:c>
    </x:row>
    <x:row r="124" ht="32" customHeight="1">
      <x:c r="A124" s="3" t="str">
        <x:v>P063</x:v>
      </x:c>
      <x:c r="B124" s="3" t="str">
        <x:v>Schools Interoperability Framework (SIF)</x:v>
      </x:c>
      <x:c r="C124" s="3" t="n">
        <x:v>1</x:v>
      </x:c>
      <x:c r="D124" s="3" t="str">
        <x:v>Project / steward</x:v>
      </x:c>
      <x:c r="E124" s="3" t="str">
        <x:v>https://data.a4l.org/sif-specifications/</x:v>
      </x:c>
      <x:c r="F124" s="3" t="str">
        <x:v>Status, purpose, outputs and/or stewardship</x:v>
      </x:c>
      <x:c r="G124" s="3" t="str">
        <x:v>Education × open standards</x:v>
      </x:c>
      <x:c r="H124" s="3" t="str">
        <x:v>High on existence; lower on effects</x:v>
      </x:c>
      <x:c r="I124" s="9" t="n">
        <x:v>46268</x:v>
      </x:c>
      <x:c r="J124" s="11" t="n">
        <x:f>IF(COUNTIF($E$6:E124,E124)=1,1,0)</x:f>
        <x:v>1</x:v>
      </x:c>
      <x:c r="K124" s="11" t="str">
        <x:v>Project / steward</x:v>
      </x:c>
    </x:row>
    <x:row r="125" ht="38" customHeight="1">
      <x:c r="A125" s="3" t="str">
        <x:v>P063</x:v>
      </x:c>
      <x:c r="B125" s="3" t="str">
        <x:v>Schools Interoperability Framework (SIF)</x:v>
      </x:c>
      <x:c r="C125" s="3" t="n">
        <x:v>2</x:v>
      </x:c>
      <x:c r="D125" s="3" t="str">
        <x:v>Project / steward</x:v>
      </x:c>
      <x:c r="E125" s="3" t="str">
        <x:v>https://data.a4l.org/open-source/</x:v>
      </x:c>
      <x:c r="F125" s="3" t="str">
        <x:v>Technical, licence, evaluation or corroborating detail</x:v>
      </x:c>
      <x:c r="G125" s="3" t="str">
        <x:v>Education × open standards</x:v>
      </x:c>
      <x:c r="H125" s="3" t="str">
        <x:v>High on existence; lower on effects</x:v>
      </x:c>
      <x:c r="I125" s="9" t="n">
        <x:v>46268</x:v>
      </x:c>
      <x:c r="J125" s="11" t="n">
        <x:f>IF(COUNTIF($E$6:E125,E125)=1,1,0)</x:f>
        <x:v>1</x:v>
      </x:c>
      <x:c r="K125" s="11" t="str">
        <x:v>Project / steward</x:v>
      </x:c>
    </x:row>
    <x:row r="126" ht="32" customHeight="1">
      <x:c r="A126" s="3" t="str">
        <x:v>P064</x:v>
      </x:c>
      <x:c r="B126" s="3" t="str">
        <x:v>Common Education Data Standards (CEDS)</x:v>
      </x:c>
      <x:c r="C126" s="3" t="n">
        <x:v>1</x:v>
      </x:c>
      <x:c r="D126" s="3" t="str">
        <x:v>Project / steward</x:v>
      </x:c>
      <x:c r="E126" s="3" t="str">
        <x:v>https://ceds.ed.gov/</x:v>
      </x:c>
      <x:c r="F126" s="3" t="str">
        <x:v>Status, purpose, outputs and/or stewardship</x:v>
      </x:c>
      <x:c r="G126" s="3" t="str">
        <x:v>Education × open standards</x:v>
      </x:c>
      <x:c r="H126" s="3" t="str">
        <x:v>High on existence; lower on effects</x:v>
      </x:c>
      <x:c r="I126" s="9" t="n">
        <x:v>46268</x:v>
      </x:c>
      <x:c r="J126" s="11" t="n">
        <x:f>IF(COUNTIF($E$6:E126,E126)=1,1,0)</x:f>
        <x:v>1</x:v>
      </x:c>
      <x:c r="K126" s="11" t="str">
        <x:v>Project / steward</x:v>
      </x:c>
    </x:row>
    <x:row r="127" ht="38" customHeight="1">
      <x:c r="A127" s="3" t="str">
        <x:v>P064</x:v>
      </x:c>
      <x:c r="B127" s="3" t="str">
        <x:v>Common Education Data Standards (CEDS)</x:v>
      </x:c>
      <x:c r="C127" s="3" t="n">
        <x:v>2</x:v>
      </x:c>
      <x:c r="D127" s="3" t="str">
        <x:v>Project / steward</x:v>
      </x:c>
      <x:c r="E127" s="3" t="str">
        <x:v>https://ceds.ed.gov/elementsceds.aspx</x:v>
      </x:c>
      <x:c r="F127" s="3" t="str">
        <x:v>Technical, licence, evaluation or corroborating detail</x:v>
      </x:c>
      <x:c r="G127" s="3" t="str">
        <x:v>Education × open standards</x:v>
      </x:c>
      <x:c r="H127" s="3" t="str">
        <x:v>High on existence; lower on effects</x:v>
      </x:c>
      <x:c r="I127" s="9" t="n">
        <x:v>46268</x:v>
      </x:c>
      <x:c r="J127" s="11" t="n">
        <x:f>IF(COUNTIF($E$6:E127,E127)=1,1,0)</x:f>
        <x:v>1</x:v>
      </x:c>
      <x:c r="K127" s="11" t="str">
        <x:v>Project / steward</x:v>
      </x:c>
    </x:row>
    <x:row r="128" ht="32" customHeight="1">
      <x:c r="A128" s="3" t="str">
        <x:v>P065</x:v>
      </x:c>
      <x:c r="B128" s="3" t="str">
        <x:v>Project Unicorn</x:v>
      </x:c>
      <x:c r="C128" s="3" t="n">
        <x:v>1</x:v>
      </x:c>
      <x:c r="D128" s="3" t="str">
        <x:v>Project / steward</x:v>
      </x:c>
      <x:c r="E128" s="3" t="str">
        <x:v>https://www.projectunicorn.org/</x:v>
      </x:c>
      <x:c r="F128" s="3" t="str">
        <x:v>Status, purpose, outputs and/or stewardship</x:v>
      </x:c>
      <x:c r="G128" s="3" t="str">
        <x:v>Education × open standards</x:v>
      </x:c>
      <x:c r="H128" s="3" t="str">
        <x:v>High on existence; lower on effects</x:v>
      </x:c>
      <x:c r="I128" s="9" t="n">
        <x:v>46268</x:v>
      </x:c>
      <x:c r="J128" s="11" t="n">
        <x:f>IF(COUNTIF($E$6:E128,E128)=1,1,0)</x:f>
        <x:v>1</x:v>
      </x:c>
      <x:c r="K128" s="11" t="str">
        <x:v>Project / steward</x:v>
      </x:c>
    </x:row>
    <x:row r="129" ht="38" customHeight="1">
      <x:c r="A129" s="3" t="str">
        <x:v>P065</x:v>
      </x:c>
      <x:c r="B129" s="3" t="str">
        <x:v>Project Unicorn</x:v>
      </x:c>
      <x:c r="C129" s="3" t="n">
        <x:v>2</x:v>
      </x:c>
      <x:c r="D129" s="3" t="str">
        <x:v>Project / steward</x:v>
      </x:c>
      <x:c r="E129" s="3" t="str">
        <x:v>https://www.projectunicorn.org/state-of-the-sector</x:v>
      </x:c>
      <x:c r="F129" s="3" t="str">
        <x:v>Technical, licence, evaluation or corroborating detail</x:v>
      </x:c>
      <x:c r="G129" s="3" t="str">
        <x:v>Education × open standards</x:v>
      </x:c>
      <x:c r="H129" s="3" t="str">
        <x:v>High on existence; lower on effects</x:v>
      </x:c>
      <x:c r="I129" s="9" t="n">
        <x:v>46268</x:v>
      </x:c>
      <x:c r="J129" s="11" t="n">
        <x:f>IF(COUNTIF($E$6:E129,E129)=1,1,0)</x:f>
        <x:v>1</x:v>
      </x:c>
      <x:c r="K129" s="11" t="str">
        <x:v>Project / steward</x:v>
      </x:c>
    </x:row>
    <x:row r="130" ht="32" customHeight="1">
      <x:c r="A130" s="3" t="str">
        <x:v>P066</x:v>
      </x:c>
      <x:c r="B130" s="3" t="str">
        <x:v>PESC education-data standards</x:v>
      </x:c>
      <x:c r="C130" s="3" t="n">
        <x:v>1</x:v>
      </x:c>
      <x:c r="D130" s="3" t="str">
        <x:v>Project / steward</x:v>
      </x:c>
      <x:c r="E130" s="3" t="str">
        <x:v>https://pesc.org/approved-standards/</x:v>
      </x:c>
      <x:c r="F130" s="3" t="str">
        <x:v>Status, purpose, outputs and/or stewardship</x:v>
      </x:c>
      <x:c r="G130" s="3" t="str">
        <x:v>Education × open standards</x:v>
      </x:c>
      <x:c r="H130" s="3" t="str">
        <x:v>High on existence; lower on effects</x:v>
      </x:c>
      <x:c r="I130" s="9" t="n">
        <x:v>46268</x:v>
      </x:c>
      <x:c r="J130" s="11" t="n">
        <x:f>IF(COUNTIF($E$6:E130,E130)=1,1,0)</x:f>
        <x:v>1</x:v>
      </x:c>
      <x:c r="K130" s="11" t="str">
        <x:v>Project / steward</x:v>
      </x:c>
    </x:row>
    <x:row r="131" ht="38" customHeight="1">
      <x:c r="A131" s="3" t="str">
        <x:v>P066</x:v>
      </x:c>
      <x:c r="B131" s="3" t="str">
        <x:v>PESC education-data standards</x:v>
      </x:c>
      <x:c r="C131" s="3" t="n">
        <x:v>2</x:v>
      </x:c>
      <x:c r="D131" s="3" t="str">
        <x:v>Project / steward</x:v>
      </x:c>
      <x:c r="E131" s="3" t="str">
        <x:v>https://pesc.org/college-transcript/</x:v>
      </x:c>
      <x:c r="F131" s="3" t="str">
        <x:v>Technical, licence, evaluation or corroborating detail</x:v>
      </x:c>
      <x:c r="G131" s="3" t="str">
        <x:v>Education × open standards</x:v>
      </x:c>
      <x:c r="H131" s="3" t="str">
        <x:v>High on existence; lower on effects</x:v>
      </x:c>
      <x:c r="I131" s="9" t="n">
        <x:v>46268</x:v>
      </x:c>
      <x:c r="J131" s="11" t="n">
        <x:f>IF(COUNTIF($E$6:E131,E131)=1,1,0)</x:f>
        <x:v>1</x:v>
      </x:c>
      <x:c r="K131" s="11" t="str">
        <x:v>Project / steward</x:v>
      </x:c>
    </x:row>
    <x:row r="132" ht="32" customHeight="1">
      <x:c r="A132" s="3" t="str">
        <x:v>P067</x:v>
      </x:c>
      <x:c r="B132" s="3" t="str">
        <x:v>W3C Verifiable Credentials Data Model 2.0</x:v>
      </x:c>
      <x:c r="C132" s="3" t="n">
        <x:v>1</x:v>
      </x:c>
      <x:c r="D132" s="3" t="str">
        <x:v>Standards body</x:v>
      </x:c>
      <x:c r="E132" s="3" t="str">
        <x:v>https://www.w3.org/TR/vc-data-model-2.0/</x:v>
      </x:c>
      <x:c r="F132" s="3" t="str">
        <x:v>Status, purpose, outputs and/or stewardship</x:v>
      </x:c>
      <x:c r="G132" s="3" t="str">
        <x:v>Education × open standards</x:v>
      </x:c>
      <x:c r="H132" s="3" t="str">
        <x:v>High on existence; lower on effects</x:v>
      </x:c>
      <x:c r="I132" s="9" t="n">
        <x:v>46268</x:v>
      </x:c>
      <x:c r="J132" s="11" t="n">
        <x:f>IF(COUNTIF($E$6:E132,E132)=1,1,0)</x:f>
        <x:v>1</x:v>
      </x:c>
      <x:c r="K132" s="11" t="str">
        <x:v>Standards body</x:v>
      </x:c>
    </x:row>
    <x:row r="133" ht="38" customHeight="1">
      <x:c r="A133" s="3" t="str">
        <x:v>P068</x:v>
      </x:c>
      <x:c r="B133" s="3" t="str">
        <x:v>European Learning Model + European Digital Credentials for Learning</x:v>
      </x:c>
      <x:c r="C133" s="3" t="n">
        <x:v>1</x:v>
      </x:c>
      <x:c r="D133" s="3" t="str">
        <x:v>Government / intergovernmental</x:v>
      </x:c>
      <x:c r="E133" s="3" t="str">
        <x:v>https://europa.eu/europass/elm-browser/index.html</x:v>
      </x:c>
      <x:c r="F133" s="3" t="str">
        <x:v>Status, purpose, outputs and/or stewardship</x:v>
      </x:c>
      <x:c r="G133" s="3" t="str">
        <x:v>Education × open standards</x:v>
      </x:c>
      <x:c r="H133" s="3" t="str">
        <x:v>High on existence; lower on effects</x:v>
      </x:c>
      <x:c r="I133" s="9" t="n">
        <x:v>46268</x:v>
      </x:c>
      <x:c r="J133" s="11" t="n">
        <x:f>IF(COUNTIF($E$6:E133,E133)=1,1,0)</x:f>
        <x:v>1</x:v>
      </x:c>
      <x:c r="K133" s="11" t="str">
        <x:v>Government / intergovernmental</x:v>
      </x:c>
    </x:row>
    <x:row r="134" ht="38" customHeight="1">
      <x:c r="A134" s="3" t="str">
        <x:v>P068</x:v>
      </x:c>
      <x:c r="B134" s="3" t="str">
        <x:v>European Learning Model + European Digital Credentials for Learning</x:v>
      </x:c>
      <x:c r="C134" s="3" t="n">
        <x:v>2</x:v>
      </x:c>
      <x:c r="D134" s="3" t="str">
        <x:v>Government / intergovernmental</x:v>
      </x:c>
      <x:c r="E134" s="3" t="str">
        <x:v>https://europass.europa.eu/en/european-digital-credentials</x:v>
      </x:c>
      <x:c r="F134" s="3" t="str">
        <x:v>Technical, licence, evaluation or corroborating detail</x:v>
      </x:c>
      <x:c r="G134" s="3" t="str">
        <x:v>Education × open standards</x:v>
      </x:c>
      <x:c r="H134" s="3" t="str">
        <x:v>High on existence; lower on effects</x:v>
      </x:c>
      <x:c r="I134" s="9" t="n">
        <x:v>46268</x:v>
      </x:c>
      <x:c r="J134" s="11" t="n">
        <x:f>IF(COUNTIF($E$6:E134,E134)=1,1,0)</x:f>
        <x:v>1</x:v>
      </x:c>
      <x:c r="K134" s="11" t="str">
        <x:v>Government / intergovernmental</x:v>
      </x:c>
    </x:row>
    <x:row r="135" ht="38" customHeight="1">
      <x:c r="A135" s="3" t="str">
        <x:v>P069</x:v>
      </x:c>
      <x:c r="B135" s="3" t="str">
        <x:v>Digital Credentials Consortium Learner Credential Wallet</x:v>
      </x:c>
      <x:c r="C135" s="3" t="n">
        <x:v>1</x:v>
      </x:c>
      <x:c r="D135" s="3" t="str">
        <x:v>Project / steward</x:v>
      </x:c>
      <x:c r="E135" s="3" t="str">
        <x:v>https://digitalcredentials.mit.edu/our-work</x:v>
      </x:c>
      <x:c r="F135" s="3" t="str">
        <x:v>Status, purpose, outputs and/or stewardship</x:v>
      </x:c>
      <x:c r="G135" s="3" t="str">
        <x:v>Education × open standards</x:v>
      </x:c>
      <x:c r="H135" s="3" t="str">
        <x:v>High on existence; lower on effects</x:v>
      </x:c>
      <x:c r="I135" s="9" t="n">
        <x:v>46268</x:v>
      </x:c>
      <x:c r="J135" s="11" t="n">
        <x:f>IF(COUNTIF($E$6:E135,E135)=1,1,0)</x:f>
        <x:v>1</x:v>
      </x:c>
      <x:c r="K135" s="11" t="str">
        <x:v>Project / steward</x:v>
      </x:c>
    </x:row>
    <x:row r="136" ht="38" customHeight="1">
      <x:c r="A136" s="3" t="str">
        <x:v>P069</x:v>
      </x:c>
      <x:c r="B136" s="3" t="str">
        <x:v>Digital Credentials Consortium Learner Credential Wallet</x:v>
      </x:c>
      <x:c r="C136" s="3" t="n">
        <x:v>2</x:v>
      </x:c>
      <x:c r="D136" s="3" t="str">
        <x:v>Repository</x:v>
      </x:c>
      <x:c r="E136" s="3" t="str">
        <x:v>https://github.com/openwallet-foundation-labs/learner-credential-wallet</x:v>
      </x:c>
      <x:c r="F136" s="3" t="str">
        <x:v>Technical, licence, evaluation or corroborating detail</x:v>
      </x:c>
      <x:c r="G136" s="3" t="str">
        <x:v>Education × open standards</x:v>
      </x:c>
      <x:c r="H136" s="3" t="str">
        <x:v>High on existence; lower on effects</x:v>
      </x:c>
      <x:c r="I136" s="9" t="n">
        <x:v>46268</x:v>
      </x:c>
      <x:c r="J136" s="11" t="n">
        <x:f>IF(COUNTIF($E$6:E136,E136)=1,1,0)</x:f>
        <x:v>1</x:v>
      </x:c>
      <x:c r="K136" s="11" t="str">
        <x:v>Repository</x:v>
      </x:c>
    </x:row>
    <x:row r="137" ht="32" customHeight="1">
      <x:c r="A137" s="3" t="str">
        <x:v>P070</x:v>
      </x:c>
      <x:c r="B137" s="3" t="str">
        <x:v>OpenCerts 3 / TrustVC</x:v>
      </x:c>
      <x:c r="C137" s="3" t="n">
        <x:v>1</x:v>
      </x:c>
      <x:c r="D137" s="3" t="str">
        <x:v>Project / steward</x:v>
      </x:c>
      <x:c r="E137" s="3" t="str">
        <x:v>https://www.opencerts.io/faq/</x:v>
      </x:c>
      <x:c r="F137" s="3" t="str">
        <x:v>Status, purpose, outputs and/or stewardship</x:v>
      </x:c>
      <x:c r="G137" s="3" t="str">
        <x:v>Education × open standards</x:v>
      </x:c>
      <x:c r="H137" s="3" t="str">
        <x:v>High on existence; lower on effects</x:v>
      </x:c>
      <x:c r="I137" s="9" t="n">
        <x:v>46268</x:v>
      </x:c>
      <x:c r="J137" s="11" t="n">
        <x:f>IF(COUNTIF($E$6:E137,E137)=1,1,0)</x:f>
        <x:v>1</x:v>
      </x:c>
      <x:c r="K137" s="11" t="str">
        <x:v>Project / steward</x:v>
      </x:c>
    </x:row>
    <x:row r="138" ht="38" customHeight="1">
      <x:c r="A138" s="3" t="str">
        <x:v>P070</x:v>
      </x:c>
      <x:c r="B138" s="3" t="str">
        <x:v>OpenCerts 3 / TrustVC</x:v>
      </x:c>
      <x:c r="C138" s="3" t="n">
        <x:v>2</x:v>
      </x:c>
      <x:c r="D138" s="3" t="str">
        <x:v>Repository</x:v>
      </x:c>
      <x:c r="E138" s="3" t="str">
        <x:v>https://github.com/TrustVC/trustvc</x:v>
      </x:c>
      <x:c r="F138" s="3" t="str">
        <x:v>Technical, licence, evaluation or corroborating detail</x:v>
      </x:c>
      <x:c r="G138" s="3" t="str">
        <x:v>Education × open standards</x:v>
      </x:c>
      <x:c r="H138" s="3" t="str">
        <x:v>High on existence; lower on effects</x:v>
      </x:c>
      <x:c r="I138" s="9" t="n">
        <x:v>46268</x:v>
      </x:c>
      <x:c r="J138" s="11" t="n">
        <x:f>IF(COUNTIF($E$6:E138,E138)=1,1,0)</x:f>
        <x:v>1</x:v>
      </x:c>
      <x:c r="K138" s="11" t="str">
        <x:v>Repository</x:v>
      </x:c>
    </x:row>
    <x:row r="139" ht="32" customHeight="1">
      <x:c r="A139" s="3" t="str">
        <x:v>P071</x:v>
      </x:c>
      <x:c r="B139" s="3" t="str">
        <x:v>EMREX / ELMO</x:v>
      </x:c>
      <x:c r="C139" s="3" t="n">
        <x:v>1</x:v>
      </x:c>
      <x:c r="D139" s="3" t="str">
        <x:v>Project / steward</x:v>
      </x:c>
      <x:c r="E139" s="3" t="str">
        <x:v>https://emrex.eu/technical/</x:v>
      </x:c>
      <x:c r="F139" s="3" t="str">
        <x:v>Status, purpose, outputs and/or stewardship</x:v>
      </x:c>
      <x:c r="G139" s="3" t="str">
        <x:v>Education × open standards</x:v>
      </x:c>
      <x:c r="H139" s="3" t="str">
        <x:v>High on existence; lower on effects</x:v>
      </x:c>
      <x:c r="I139" s="9" t="n">
        <x:v>46268</x:v>
      </x:c>
      <x:c r="J139" s="11" t="n">
        <x:f>IF(COUNTIF($E$6:E139,E139)=1,1,0)</x:f>
        <x:v>1</x:v>
      </x:c>
      <x:c r="K139" s="11" t="str">
        <x:v>Project / steward</x:v>
      </x:c>
    </x:row>
    <x:row r="140" ht="38" customHeight="1">
      <x:c r="A140" s="3" t="str">
        <x:v>P071</x:v>
      </x:c>
      <x:c r="B140" s="3" t="str">
        <x:v>EMREX / ELMO</x:v>
      </x:c>
      <x:c r="C140" s="3" t="n">
        <x:v>2</x:v>
      </x:c>
      <x:c r="D140" s="3" t="str">
        <x:v>Repository</x:v>
      </x:c>
      <x:c r="E140" s="3" t="str">
        <x:v>https://github.com/emrex-eu/elmo-schemas</x:v>
      </x:c>
      <x:c r="F140" s="3" t="str">
        <x:v>Technical, licence, evaluation or corroborating detail</x:v>
      </x:c>
      <x:c r="G140" s="3" t="str">
        <x:v>Education × open standards</x:v>
      </x:c>
      <x:c r="H140" s="3" t="str">
        <x:v>High on existence; lower on effects</x:v>
      </x:c>
      <x:c r="I140" s="9" t="n">
        <x:v>46268</x:v>
      </x:c>
      <x:c r="J140" s="11" t="n">
        <x:f>IF(COUNTIF($E$6:E140,E140)=1,1,0)</x:f>
        <x:v>1</x:v>
      </x:c>
      <x:c r="K140" s="11" t="str">
        <x:v>Repository</x:v>
      </x:c>
    </x:row>
    <x:row r="141" ht="32" customHeight="1">
      <x:c r="A141" s="3" t="str">
        <x:v>P072</x:v>
      </x:c>
      <x:c r="B141" s="3" t="str">
        <x:v>Erasmus Without Paper</x:v>
      </x:c>
      <x:c r="C141" s="3" t="n">
        <x:v>1</x:v>
      </x:c>
      <x:c r="D141" s="3" t="str">
        <x:v>Project / steward</x:v>
      </x:c>
      <x:c r="E141" s="3" t="str">
        <x:v>https://developers.erasmuswithoutpaper.eu/</x:v>
      </x:c>
      <x:c r="F141" s="3" t="str">
        <x:v>Status, purpose, outputs and/or stewardship</x:v>
      </x:c>
      <x:c r="G141" s="3" t="str">
        <x:v>Education × open standards</x:v>
      </x:c>
      <x:c r="H141" s="3" t="str">
        <x:v>High on existence; lower on effects</x:v>
      </x:c>
      <x:c r="I141" s="9" t="n">
        <x:v>46268</x:v>
      </x:c>
      <x:c r="J141" s="11" t="n">
        <x:f>IF(COUNTIF($E$6:E141,E141)=1,1,0)</x:f>
        <x:v>1</x:v>
      </x:c>
      <x:c r="K141" s="11" t="str">
        <x:v>Project / steward</x:v>
      </x:c>
    </x:row>
    <x:row r="142" ht="38" customHeight="1">
      <x:c r="A142" s="3" t="str">
        <x:v>P072</x:v>
      </x:c>
      <x:c r="B142" s="3" t="str">
        <x:v>Erasmus Without Paper</x:v>
      </x:c>
      <x:c r="C142" s="3" t="n">
        <x:v>2</x:v>
      </x:c>
      <x:c r="D142" s="3" t="str">
        <x:v>Government / intergovernmental</x:v>
      </x:c>
      <x:c r="E142" s="3" t="str">
        <x:v>https://erasmus-plus.ec.europa.eu/european-student-card-initiative/about/esci-uptake-rates-and-trends</x:v>
      </x:c>
      <x:c r="F142" s="3" t="str">
        <x:v>Technical, licence, evaluation or corroborating detail</x:v>
      </x:c>
      <x:c r="G142" s="3" t="str">
        <x:v>Education × open standards</x:v>
      </x:c>
      <x:c r="H142" s="3" t="str">
        <x:v>High on existence; lower on effects</x:v>
      </x:c>
      <x:c r="I142" s="9" t="n">
        <x:v>46268</x:v>
      </x:c>
      <x:c r="J142" s="11" t="n">
        <x:f>IF(COUNTIF($E$6:E142,E142)=1,1,0)</x:f>
        <x:v>1</x:v>
      </x:c>
      <x:c r="K142" s="11" t="str">
        <x:v>Government / intergovernmental</x:v>
      </x:c>
    </x:row>
    <x:row r="143" ht="32" customHeight="1">
      <x:c r="A143" s="3" t="str">
        <x:v>P073</x:v>
      </x:c>
      <x:c r="B143" s="3" t="str">
        <x:v>eduGAIN + eduPerson</x:v>
      </x:c>
      <x:c r="C143" s="3" t="n">
        <x:v>1</x:v>
      </x:c>
      <x:c r="D143" s="3" t="str">
        <x:v>Project / steward</x:v>
      </x:c>
      <x:c r="E143" s="3" t="str">
        <x:v>https://wiki.refeds.org/display/STAN/eduPerson%2B2021-11</x:v>
      </x:c>
      <x:c r="F143" s="3" t="str">
        <x:v>Status, purpose, outputs and/or stewardship</x:v>
      </x:c>
      <x:c r="G143" s="3" t="str">
        <x:v>Education × open standards</x:v>
      </x:c>
      <x:c r="H143" s="3" t="str">
        <x:v>High on existence; lower on effects</x:v>
      </x:c>
      <x:c r="I143" s="9" t="n">
        <x:v>46268</x:v>
      </x:c>
      <x:c r="J143" s="11" t="n">
        <x:f>IF(COUNTIF($E$6:E143,E143)=1,1,0)</x:f>
        <x:v>1</x:v>
      </x:c>
      <x:c r="K143" s="11" t="str">
        <x:v>Project / steward</x:v>
      </x:c>
    </x:row>
    <x:row r="144" ht="38" customHeight="1">
      <x:c r="A144" s="3" t="str">
        <x:v>P073</x:v>
      </x:c>
      <x:c r="B144" s="3" t="str">
        <x:v>eduGAIN + eduPerson</x:v>
      </x:c>
      <x:c r="C144" s="3" t="n">
        <x:v>2</x:v>
      </x:c>
      <x:c r="D144" s="3" t="str">
        <x:v>Project / steward</x:v>
      </x:c>
      <x:c r="E144" s="3" t="str">
        <x:v>https://ar.geant.org/ar2025/</x:v>
      </x:c>
      <x:c r="F144" s="3" t="str">
        <x:v>Technical, licence, evaluation or corroborating detail</x:v>
      </x:c>
      <x:c r="G144" s="3" t="str">
        <x:v>Education × open standards</x:v>
      </x:c>
      <x:c r="H144" s="3" t="str">
        <x:v>High on existence; lower on effects</x:v>
      </x:c>
      <x:c r="I144" s="9" t="n">
        <x:v>46268</x:v>
      </x:c>
      <x:c r="J144" s="11" t="n">
        <x:f>IF(COUNTIF($E$6:E144,E144)=1,1,0)</x:f>
        <x:v>1</x:v>
      </x:c>
      <x:c r="K144" s="11" t="str">
        <x:v>Project / steward</x:v>
      </x:c>
    </x:row>
    <x:row r="145" ht="32" customHeight="1">
      <x:c r="A145" s="3" t="str">
        <x:v>P074</x:v>
      </x:c>
      <x:c r="B145" s="3" t="str">
        <x:v>eduroam</x:v>
      </x:c>
      <x:c r="C145" s="3" t="n">
        <x:v>1</x:v>
      </x:c>
      <x:c r="D145" s="3" t="str">
        <x:v>Project / steward</x:v>
      </x:c>
      <x:c r="E145" s="3" t="str">
        <x:v>https://ar.geant.org/ar2025/</x:v>
      </x:c>
      <x:c r="F145" s="3" t="str">
        <x:v>Status, purpose, outputs and/or stewardship</x:v>
      </x:c>
      <x:c r="G145" s="3" t="str">
        <x:v>Education × open standards</x:v>
      </x:c>
      <x:c r="H145" s="3" t="str">
        <x:v>High on existence; lower on effects</x:v>
      </x:c>
      <x:c r="I145" s="9" t="n">
        <x:v>46268</x:v>
      </x:c>
      <x:c r="J145" s="11" t="n">
        <x:f>IF(COUNTIF($E$6:E145,E145)=1,1,0)</x:f>
        <x:v>0</x:v>
      </x:c>
      <x:c r="K145" s="11" t="str">
        <x:v>Project / steward</x:v>
      </x:c>
    </x:row>
    <x:row r="146" ht="38" customHeight="1">
      <x:c r="A146" s="3" t="str">
        <x:v>P074</x:v>
      </x:c>
      <x:c r="B146" s="3" t="str">
        <x:v>eduroam</x:v>
      </x:c>
      <x:c r="C146" s="3" t="n">
        <x:v>2</x:v>
      </x:c>
      <x:c r="D146" s="3" t="str">
        <x:v>Government / intergovernmental</x:v>
      </x:c>
      <x:c r="E146" s="3" t="str">
        <x:v>https://interoperable-europe.ec.europa.eu/collection/open-source-observatory-osor/solutions-month</x:v>
      </x:c>
      <x:c r="F146" s="3" t="str">
        <x:v>Technical, licence, evaluation or corroborating detail</x:v>
      </x:c>
      <x:c r="G146" s="3" t="str">
        <x:v>Education × open standards</x:v>
      </x:c>
      <x:c r="H146" s="3" t="str">
        <x:v>High on existence; lower on effects</x:v>
      </x:c>
      <x:c r="I146" s="9" t="n">
        <x:v>46268</x:v>
      </x:c>
      <x:c r="J146" s="11" t="n">
        <x:f>IF(COUNTIF($E$6:E146,E146)=1,1,0)</x:f>
        <x:v>1</x:v>
      </x:c>
      <x:c r="K146" s="11" t="str">
        <x:v>Government / intergovernmental</x:v>
      </x:c>
    </x:row>
    <x:row r="147" ht="32" customHeight="1">
      <x:c r="A147" s="3" t="str">
        <x:v>P075</x:v>
      </x:c>
      <x:c r="B147" s="3" t="str">
        <x:v>Learning Resource Metadata Initiative (LRMI)</x:v>
      </x:c>
      <x:c r="C147" s="3" t="n">
        <x:v>1</x:v>
      </x:c>
      <x:c r="D147" s="3" t="str">
        <x:v>Project / steward</x:v>
      </x:c>
      <x:c r="E147" s="3" t="str">
        <x:v>https://www.dublincore.org/about/lrmi/</x:v>
      </x:c>
      <x:c r="F147" s="3" t="str">
        <x:v>Status, purpose, outputs and/or stewardship</x:v>
      </x:c>
      <x:c r="G147" s="3" t="str">
        <x:v>Education × open standards</x:v>
      </x:c>
      <x:c r="H147" s="3" t="str">
        <x:v>High on existence; lower on effects</x:v>
      </x:c>
      <x:c r="I147" s="9" t="n">
        <x:v>46268</x:v>
      </x:c>
      <x:c r="J147" s="11" t="n">
        <x:f>IF(COUNTIF($E$6:E147,E147)=1,1,0)</x:f>
        <x:v>1</x:v>
      </x:c>
      <x:c r="K147" s="11" t="str">
        <x:v>Project / steward</x:v>
      </x:c>
    </x:row>
    <x:row r="148" ht="38" customHeight="1">
      <x:c r="A148" s="3" t="str">
        <x:v>P075</x:v>
      </x:c>
      <x:c r="B148" s="3" t="str">
        <x:v>Learning Resource Metadata Initiative (LRMI)</x:v>
      </x:c>
      <x:c r="C148" s="3" t="n">
        <x:v>2</x:v>
      </x:c>
      <x:c r="D148" s="3" t="str">
        <x:v>Project / steward</x:v>
      </x:c>
      <x:c r="E148" s="3" t="str">
        <x:v>https://www.dublincore.org/specifications/lrmi/</x:v>
      </x:c>
      <x:c r="F148" s="3" t="str">
        <x:v>Technical, licence, evaluation or corroborating detail</x:v>
      </x:c>
      <x:c r="G148" s="3" t="str">
        <x:v>Education × open standards</x:v>
      </x:c>
      <x:c r="H148" s="3" t="str">
        <x:v>High on existence; lower on effects</x:v>
      </x:c>
      <x:c r="I148" s="9" t="n">
        <x:v>46268</x:v>
      </x:c>
      <x:c r="J148" s="11" t="n">
        <x:f>IF(COUNTIF($E$6:E148,E148)=1,1,0)</x:f>
        <x:v>1</x:v>
      </x:c>
      <x:c r="K148" s="11" t="str">
        <x:v>Project / steward</x:v>
      </x:c>
    </x:row>
    <x:row r="149" ht="32" customHeight="1">
      <x:c r="A149" s="3" t="str">
        <x:v>P076</x:v>
      </x:c>
      <x:c r="B149" s="3" t="str">
        <x:v>OAI-PMH</x:v>
      </x:c>
      <x:c r="C149" s="3" t="n">
        <x:v>1</x:v>
      </x:c>
      <x:c r="D149" s="3" t="str">
        <x:v>Standards body</x:v>
      </x:c>
      <x:c r="E149" s="3" t="str">
        <x:v>https://www.openarchives.org/pmh/</x:v>
      </x:c>
      <x:c r="F149" s="3" t="str">
        <x:v>Status, purpose, outputs and/or stewardship</x:v>
      </x:c>
      <x:c r="G149" s="3" t="str">
        <x:v>Education × open standards</x:v>
      </x:c>
      <x:c r="H149" s="3" t="str">
        <x:v>High on existence; lower on effects</x:v>
      </x:c>
      <x:c r="I149" s="9" t="n">
        <x:v>46268</x:v>
      </x:c>
      <x:c r="J149" s="11" t="n">
        <x:f>IF(COUNTIF($E$6:E149,E149)=1,1,0)</x:f>
        <x:v>1</x:v>
      </x:c>
      <x:c r="K149" s="11" t="str">
        <x:v>Standards body</x:v>
      </x:c>
    </x:row>
    <x:row r="150" ht="38" customHeight="1">
      <x:c r="A150" s="3" t="str">
        <x:v>P076</x:v>
      </x:c>
      <x:c r="B150" s="3" t="str">
        <x:v>OAI-PMH</x:v>
      </x:c>
      <x:c r="C150" s="3" t="n">
        <x:v>2</x:v>
      </x:c>
      <x:c r="D150" s="3" t="str">
        <x:v>Standards body</x:v>
      </x:c>
      <x:c r="E150" s="3" t="str">
        <x:v>https://www.openarchives.org/OAI/openarchivesprotocol.html</x:v>
      </x:c>
      <x:c r="F150" s="3" t="str">
        <x:v>Technical, licence, evaluation or corroborating detail</x:v>
      </x:c>
      <x:c r="G150" s="3" t="str">
        <x:v>Education × open standards</x:v>
      </x:c>
      <x:c r="H150" s="3" t="str">
        <x:v>High on existence; lower on effects</x:v>
      </x:c>
      <x:c r="I150" s="9" t="n">
        <x:v>46268</x:v>
      </x:c>
      <x:c r="J150" s="11" t="n">
        <x:f>IF(COUNTIF($E$6:E150,E150)=1,1,0)</x:f>
        <x:v>1</x:v>
      </x:c>
      <x:c r="K150" s="11" t="str">
        <x:v>Standards body</x:v>
      </x:c>
    </x:row>
    <x:row r="151" ht="32" customHeight="1">
      <x:c r="A151" s="3" t="str">
        <x:v>P077</x:v>
      </x:c>
      <x:c r="B151" s="3" t="str">
        <x:v>H5P content format and libraries</x:v>
      </x:c>
      <x:c r="C151" s="3" t="n">
        <x:v>1</x:v>
      </x:c>
      <x:c r="D151" s="3" t="str">
        <x:v>Project / steward</x:v>
      </x:c>
      <x:c r="E151" s="3" t="str">
        <x:v>https://h5p.org/documentation/developers/h5p-specification</x:v>
      </x:c>
      <x:c r="F151" s="3" t="str">
        <x:v>Status, purpose, outputs and/or stewardship</x:v>
      </x:c>
      <x:c r="G151" s="3" t="str">
        <x:v>Education × open standards</x:v>
      </x:c>
      <x:c r="H151" s="3" t="str">
        <x:v>High on existence; lower on effects</x:v>
      </x:c>
      <x:c r="I151" s="9" t="n">
        <x:v>46268</x:v>
      </x:c>
      <x:c r="J151" s="11" t="n">
        <x:f>IF(COUNTIF($E$6:E151,E151)=1,1,0)</x:f>
        <x:v>1</x:v>
      </x:c>
      <x:c r="K151" s="11" t="str">
        <x:v>Project / steward</x:v>
      </x:c>
    </x:row>
    <x:row r="152" ht="38" customHeight="1">
      <x:c r="A152" s="3" t="str">
        <x:v>P077</x:v>
      </x:c>
      <x:c r="B152" s="3" t="str">
        <x:v>H5P content format and libraries</x:v>
      </x:c>
      <x:c r="C152" s="3" t="n">
        <x:v>2</x:v>
      </x:c>
      <x:c r="D152" s="3" t="str">
        <x:v>Project / steward</x:v>
      </x:c>
      <x:c r="E152" s="3" t="str">
        <x:v>https://h5p.org/content-types-and-applications</x:v>
      </x:c>
      <x:c r="F152" s="3" t="str">
        <x:v>Technical, licence, evaluation or corroborating detail</x:v>
      </x:c>
      <x:c r="G152" s="3" t="str">
        <x:v>Education × open standards</x:v>
      </x:c>
      <x:c r="H152" s="3" t="str">
        <x:v>High on existence; lower on effects</x:v>
      </x:c>
      <x:c r="I152" s="9" t="n">
        <x:v>46268</x:v>
      </x:c>
      <x:c r="J152" s="11" t="n">
        <x:f>IF(COUNTIF($E$6:E152,E152)=1,1,0)</x:f>
        <x:v>1</x:v>
      </x:c>
      <x:c r="K152" s="11" t="str">
        <x:v>Project / steward</x:v>
      </x:c>
    </x:row>
    <x:row r="153" ht="32" customHeight="1">
      <x:c r="A153" s="3" t="str">
        <x:v>P078</x:v>
      </x:c>
      <x:c r="B153" s="3" t="str">
        <x:v>Sunbird + DIKSHA</x:v>
      </x:c>
      <x:c r="C153" s="3" t="n">
        <x:v>1</x:v>
      </x:c>
      <x:c r="D153" s="3" t="str">
        <x:v>Project / steward</x:v>
      </x:c>
      <x:c r="E153" s="3" t="str">
        <x:v>https://www.digitalpublicgoods.net/r/sunbird</x:v>
      </x:c>
      <x:c r="F153" s="3" t="str">
        <x:v>Status, purpose, outputs and/or stewardship</x:v>
      </x:c>
      <x:c r="G153" s="3" t="str">
        <x:v>Education × open standards</x:v>
      </x:c>
      <x:c r="H153" s="3" t="str">
        <x:v>High on existence; lower on effects</x:v>
      </x:c>
      <x:c r="I153" s="9" t="n">
        <x:v>46268</x:v>
      </x:c>
      <x:c r="J153" s="11" t="n">
        <x:f>IF(COUNTIF($E$6:E153,E153)=1,1,0)</x:f>
        <x:v>1</x:v>
      </x:c>
      <x:c r="K153" s="11" t="str">
        <x:v>Project / steward</x:v>
      </x:c>
    </x:row>
    <x:row r="154" ht="38" customHeight="1">
      <x:c r="A154" s="3" t="str">
        <x:v>P078</x:v>
      </x:c>
      <x:c r="B154" s="3" t="str">
        <x:v>Sunbird + DIKSHA</x:v>
      </x:c>
      <x:c r="C154" s="3" t="n">
        <x:v>2</x:v>
      </x:c>
      <x:c r="D154" s="3" t="str">
        <x:v>Government / intergovernmental</x:v>
      </x:c>
      <x:c r="E154" s="3" t="str">
        <x:v>https://www.digitalindia.gov.in/initiative/diksha/</x:v>
      </x:c>
      <x:c r="F154" s="3" t="str">
        <x:v>Technical, licence, evaluation or corroborating detail</x:v>
      </x:c>
      <x:c r="G154" s="3" t="str">
        <x:v>Education × open standards</x:v>
      </x:c>
      <x:c r="H154" s="3" t="str">
        <x:v>High on existence; lower on effects</x:v>
      </x:c>
      <x:c r="I154" s="9" t="n">
        <x:v>46268</x:v>
      </x:c>
      <x:c r="J154" s="11" t="n">
        <x:f>IF(COUNTIF($E$6:E154,E154)=1,1,0)</x:f>
        <x:v>1</x:v>
      </x:c>
      <x:c r="K154" s="11" t="str">
        <x:v>Government / intergovernmental</x:v>
      </x:c>
    </x:row>
    <x:row r="155" ht="32" customHeight="1">
      <x:c r="A155" s="3" t="str">
        <x:v>P079</x:v>
      </x:c>
      <x:c r="B155" s="3" t="str">
        <x:v>Kolibri</x:v>
      </x:c>
      <x:c r="C155" s="3" t="n">
        <x:v>1</x:v>
      </x:c>
      <x:c r="D155" s="3" t="str">
        <x:v>Project / steward</x:v>
      </x:c>
      <x:c r="E155" s="3" t="str">
        <x:v>https://www.digitalpublicgoods.net/r/kolibri</x:v>
      </x:c>
      <x:c r="F155" s="3" t="str">
        <x:v>Status, purpose, outputs and/or stewardship</x:v>
      </x:c>
      <x:c r="G155" s="3" t="str">
        <x:v>Education × open standards</x:v>
      </x:c>
      <x:c r="H155" s="3" t="str">
        <x:v>High on existence; lower on effects</x:v>
      </x:c>
      <x:c r="I155" s="9" t="n">
        <x:v>46268</x:v>
      </x:c>
      <x:c r="J155" s="11" t="n">
        <x:f>IF(COUNTIF($E$6:E155,E155)=1,1,0)</x:f>
        <x:v>1</x:v>
      </x:c>
      <x:c r="K155" s="11" t="str">
        <x:v>Project / steward</x:v>
      </x:c>
    </x:row>
    <x:row r="156" ht="38" customHeight="1">
      <x:c r="A156" s="3" t="str">
        <x:v>P079</x:v>
      </x:c>
      <x:c r="B156" s="3" t="str">
        <x:v>Kolibri</x:v>
      </x:c>
      <x:c r="C156" s="3" t="n">
        <x:v>2</x:v>
      </x:c>
      <x:c r="D156" s="3" t="str">
        <x:v>Project / steward</x:v>
      </x:c>
      <x:c r="E156" s="3" t="str">
        <x:v>https://learningequality.org/kolibri/about-kolibri/</x:v>
      </x:c>
      <x:c r="F156" s="3" t="str">
        <x:v>Technical, licence, evaluation or corroborating detail</x:v>
      </x:c>
      <x:c r="G156" s="3" t="str">
        <x:v>Education × open standards</x:v>
      </x:c>
      <x:c r="H156" s="3" t="str">
        <x:v>High on existence; lower on effects</x:v>
      </x:c>
      <x:c r="I156" s="9" t="n">
        <x:v>46268</x:v>
      </x:c>
      <x:c r="J156" s="11" t="n">
        <x:f>IF(COUNTIF($E$6:E156,E156)=1,1,0)</x:f>
        <x:v>1</x:v>
      </x:c>
      <x:c r="K156" s="11" t="str">
        <x:v>Project / steward</x:v>
      </x:c>
    </x:row>
    <x:row r="157" ht="32" customHeight="1">
      <x:c r="A157" s="3" t="str">
        <x:v>P080</x:v>
      </x:c>
      <x:c r="B157" s="3" t="str">
        <x:v>DHIS2 for Education</x:v>
      </x:c>
      <x:c r="C157" s="3" t="n">
        <x:v>1</x:v>
      </x:c>
      <x:c r="D157" s="3" t="str">
        <x:v>Project / steward</x:v>
      </x:c>
      <x:c r="E157" s="3" t="str">
        <x:v>https://dhis2.org/education/</x:v>
      </x:c>
      <x:c r="F157" s="3" t="str">
        <x:v>Status, purpose, outputs and/or stewardship</x:v>
      </x:c>
      <x:c r="G157" s="3" t="str">
        <x:v>Education × open standards</x:v>
      </x:c>
      <x:c r="H157" s="3" t="str">
        <x:v>High on existence; lower on effects</x:v>
      </x:c>
      <x:c r="I157" s="9" t="n">
        <x:v>46268</x:v>
      </x:c>
      <x:c r="J157" s="11" t="n">
        <x:f>IF(COUNTIF($E$6:E157,E157)=1,1,0)</x:f>
        <x:v>1</x:v>
      </x:c>
      <x:c r="K157" s="11" t="str">
        <x:v>Project / steward</x:v>
      </x:c>
    </x:row>
    <x:row r="158" ht="32" customHeight="1">
      <x:c r="A158" s="3" t="str">
        <x:v>P081</x:v>
      </x:c>
      <x:c r="B158" s="3" t="str">
        <x:v>OpenEMIS</x:v>
      </x:c>
      <x:c r="C158" s="3" t="n">
        <x:v>1</x:v>
      </x:c>
      <x:c r="D158" s="3" t="str">
        <x:v>Project / steward</x:v>
      </x:c>
      <x:c r="E158" s="3" t="str">
        <x:v>https://www.openemis.org/</x:v>
      </x:c>
      <x:c r="F158" s="3" t="str">
        <x:v>Status, purpose, outputs and/or stewardship</x:v>
      </x:c>
      <x:c r="G158" s="3" t="str">
        <x:v>Education × open standards</x:v>
      </x:c>
      <x:c r="H158" s="3" t="str">
        <x:v>High on existence; lower on effects</x:v>
      </x:c>
      <x:c r="I158" s="9" t="n">
        <x:v>46268</x:v>
      </x:c>
      <x:c r="J158" s="11" t="n">
        <x:f>IF(COUNTIF($E$6:E158,E158)=1,1,0)</x:f>
        <x:v>1</x:v>
      </x:c>
      <x:c r="K158" s="11" t="str">
        <x:v>Project / steward</x:v>
      </x:c>
    </x:row>
    <x:row r="159" ht="38" customHeight="1">
      <x:c r="A159" s="3" t="str">
        <x:v>P081</x:v>
      </x:c>
      <x:c r="B159" s="3" t="str">
        <x:v>OpenEMIS</x:v>
      </x:c>
      <x:c r="C159" s="3" t="n">
        <x:v>2</x:v>
      </x:c>
      <x:c r="D159" s="3" t="str">
        <x:v>Government / intergovernmental</x:v>
      </x:c>
      <x:c r="E159" s="3" t="str">
        <x:v>https://www.unesco.org/en/articles/what-did-we-learn-external-evaluation-openemis-initiative</x:v>
      </x:c>
      <x:c r="F159" s="3" t="str">
        <x:v>Technical, licence, evaluation or corroborating detail</x:v>
      </x:c>
      <x:c r="G159" s="3" t="str">
        <x:v>Education × open standards</x:v>
      </x:c>
      <x:c r="H159" s="3" t="str">
        <x:v>High on existence; lower on effects</x:v>
      </x:c>
      <x:c r="I159" s="9" t="n">
        <x:v>46268</x:v>
      </x:c>
      <x:c r="J159" s="11" t="n">
        <x:f>IF(COUNTIF($E$6:E159,E159)=1,1,0)</x:f>
        <x:v>1</x:v>
      </x:c>
      <x:c r="K159" s="11" t="str">
        <x:v>Government / intergovernmental</x:v>
      </x:c>
    </x:row>
    <x:row r="160" ht="38" customHeight="1">
      <x:c r="A160" s="3" t="str">
        <x:v>P082</x:v>
      </x:c>
      <x:c r="B160" s="3" t="str">
        <x:v>National Schools Interoperability Program (NSIP)</x:v>
      </x:c>
      <x:c r="C160" s="3" t="n">
        <x:v>1</x:v>
      </x:c>
      <x:c r="D160" s="3" t="str">
        <x:v>Project / steward</x:v>
      </x:c>
      <x:c r="E160" s="3" t="str">
        <x:v>https://www.nsip.edu.au/about/</x:v>
      </x:c>
      <x:c r="F160" s="3" t="str">
        <x:v>Status, purpose, outputs and/or stewardship</x:v>
      </x:c>
      <x:c r="G160" s="3" t="str">
        <x:v>Education × open standards</x:v>
      </x:c>
      <x:c r="H160" s="3" t="str">
        <x:v>High on existence; lower on effects</x:v>
      </x:c>
      <x:c r="I160" s="9" t="n">
        <x:v>46268</x:v>
      </x:c>
      <x:c r="J160" s="11" t="n">
        <x:f>IF(COUNTIF($E$6:E160,E160)=1,1,0)</x:f>
        <x:v>1</x:v>
      </x:c>
      <x:c r="K160" s="11" t="str">
        <x:v>Project / steward</x:v>
      </x:c>
    </x:row>
    <x:row r="161" ht="38" customHeight="1">
      <x:c r="A161" s="3" t="str">
        <x:v>P082</x:v>
      </x:c>
      <x:c r="B161" s="3" t="str">
        <x:v>National Schools Interoperability Program (NSIP)</x:v>
      </x:c>
      <x:c r="C161" s="3" t="n">
        <x:v>2</x:v>
      </x:c>
      <x:c r="D161" s="3" t="str">
        <x:v>Project / steward</x:v>
      </x:c>
      <x:c r="E161" s="3" t="str">
        <x:v>https://www.nsip.edu.au/nsip-open-source-resources-more-info/</x:v>
      </x:c>
      <x:c r="F161" s="3" t="str">
        <x:v>Technical, licence, evaluation or corroborating detail</x:v>
      </x:c>
      <x:c r="G161" s="3" t="str">
        <x:v>Education × open standards</x:v>
      </x:c>
      <x:c r="H161" s="3" t="str">
        <x:v>High on existence; lower on effects</x:v>
      </x:c>
      <x:c r="I161" s="9" t="n">
        <x:v>46268</x:v>
      </x:c>
      <x:c r="J161" s="11" t="n">
        <x:f>IF(COUNTIF($E$6:E161,E161)=1,1,0)</x:f>
        <x:v>1</x:v>
      </x:c>
      <x:c r="K161" s="11" t="str">
        <x:v>Project / steward</x:v>
      </x:c>
    </x:row>
    <x:row r="162" ht="32" customHeight="1">
      <x:c r="A162" s="3" t="str">
        <x:v>P083</x:v>
      </x:c>
      <x:c r="B162" s="3" t="str">
        <x:v>OOAPI + Edu-V</x:v>
      </x:c>
      <x:c r="C162" s="3" t="n">
        <x:v>1</x:v>
      </x:c>
      <x:c r="D162" s="3" t="str">
        <x:v>Project / steward</x:v>
      </x:c>
      <x:c r="E162" s="3" t="str">
        <x:v>https://www.surf.nl/en/open-education-api</x:v>
      </x:c>
      <x:c r="F162" s="3" t="str">
        <x:v>Status, purpose, outputs and/or stewardship</x:v>
      </x:c>
      <x:c r="G162" s="3" t="str">
        <x:v>Education × open standards</x:v>
      </x:c>
      <x:c r="H162" s="3" t="str">
        <x:v>High on existence; lower on effects</x:v>
      </x:c>
      <x:c r="I162" s="9" t="n">
        <x:v>46268</x:v>
      </x:c>
      <x:c r="J162" s="11" t="n">
        <x:f>IF(COUNTIF($E$6:E162,E162)=1,1,0)</x:f>
        <x:v>1</x:v>
      </x:c>
      <x:c r="K162" s="11" t="str">
        <x:v>Project / steward</x:v>
      </x:c>
    </x:row>
    <x:row r="163" ht="38" customHeight="1">
      <x:c r="A163" s="3" t="str">
        <x:v>P083</x:v>
      </x:c>
      <x:c r="B163" s="3" t="str">
        <x:v>OOAPI + Edu-V</x:v>
      </x:c>
      <x:c r="C163" s="3" t="n">
        <x:v>2</x:v>
      </x:c>
      <x:c r="D163" s="3" t="str">
        <x:v>Project / steward</x:v>
      </x:c>
      <x:c r="E163" s="3" t="str">
        <x:v>https://www.edu-v.org/english/</x:v>
      </x:c>
      <x:c r="F163" s="3" t="str">
        <x:v>Technical, licence, evaluation or corroborating detail</x:v>
      </x:c>
      <x:c r="G163" s="3" t="str">
        <x:v>Education × open standards</x:v>
      </x:c>
      <x:c r="H163" s="3" t="str">
        <x:v>High on existence; lower on effects</x:v>
      </x:c>
      <x:c r="I163" s="9" t="n">
        <x:v>46268</x:v>
      </x:c>
      <x:c r="J163" s="11" t="n">
        <x:f>IF(COUNTIF($E$6:E163,E163)=1,1,0)</x:f>
        <x:v>1</x:v>
      </x:c>
      <x:c r="K163" s="11" t="str">
        <x:v>Project / steward</x:v>
      </x:c>
    </x:row>
    <x:row r="164" ht="32" customHeight="1">
      <x:c r="A164" s="3" t="str">
        <x:v>P084</x:v>
      </x:c>
      <x:c r="B164" s="3" t="str">
        <x:v>Finland KOSKI + ePerusteet/eRequirements</x:v>
      </x:c>
      <x:c r="C164" s="3" t="n">
        <x:v>1</x:v>
      </x:c>
      <x:c r="D164" s="3" t="str">
        <x:v>Repository</x:v>
      </x:c>
      <x:c r="E164" s="3" t="str">
        <x:v>https://github.com/Opetushallitus/koski</x:v>
      </x:c>
      <x:c r="F164" s="3" t="str">
        <x:v>Status, purpose, outputs and/or stewardship</x:v>
      </x:c>
      <x:c r="G164" s="3" t="str">
        <x:v>Education × open standards</x:v>
      </x:c>
      <x:c r="H164" s="3" t="str">
        <x:v>High on existence; lower on effects</x:v>
      </x:c>
      <x:c r="I164" s="9" t="n">
        <x:v>46268</x:v>
      </x:c>
      <x:c r="J164" s="11" t="n">
        <x:f>IF(COUNTIF($E$6:E164,E164)=1,1,0)</x:f>
        <x:v>1</x:v>
      </x:c>
      <x:c r="K164" s="11" t="str">
        <x:v>Repository</x:v>
      </x:c>
    </x:row>
    <x:row r="165" ht="38" customHeight="1">
      <x:c r="A165" s="3" t="str">
        <x:v>P084</x:v>
      </x:c>
      <x:c r="B165" s="3" t="str">
        <x:v>Finland KOSKI + ePerusteet/eRequirements</x:v>
      </x:c>
      <x:c r="C165" s="3" t="n">
        <x:v>2</x:v>
      </x:c>
      <x:c r="D165" s="3" t="str">
        <x:v>Project / steward</x:v>
      </x:c>
      <x:c r="E165" s="3" t="str">
        <x:v>https://eperusteet.opintopolku.fi/</x:v>
      </x:c>
      <x:c r="F165" s="3" t="str">
        <x:v>Technical, licence, evaluation or corroborating detail</x:v>
      </x:c>
      <x:c r="G165" s="3" t="str">
        <x:v>Education × open standards</x:v>
      </x:c>
      <x:c r="H165" s="3" t="str">
        <x:v>High on existence; lower on effects</x:v>
      </x:c>
      <x:c r="I165" s="9" t="n">
        <x:v>46268</x:v>
      </x:c>
      <x:c r="J165" s="11" t="n">
        <x:f>IF(COUNTIF($E$6:E165,E165)=1,1,0)</x:f>
        <x:v>1</x:v>
      </x:c>
      <x:c r="K165" s="11" t="str">
        <x:v>Project / steward</x:v>
      </x:c>
    </x:row>
    <x:row r="166" ht="32" customHeight="1">
      <x:c r="A166" s="3" t="str">
        <x:v>P085</x:v>
      </x:c>
      <x:c r="B166" s="3" t="str">
        <x:v>Grep — Norway’s open curriculum data</x:v>
      </x:c>
      <x:c r="C166" s="3" t="n">
        <x:v>1</x:v>
      </x:c>
      <x:c r="D166" s="3" t="str">
        <x:v>Project / steward</x:v>
      </x:c>
      <x:c r="E166" s="3" t="str">
        <x:v>https://www.udir.no/om-udir/data/</x:v>
      </x:c>
      <x:c r="F166" s="3" t="str">
        <x:v>Status, purpose, outputs and/or stewardship</x:v>
      </x:c>
      <x:c r="G166" s="3" t="str">
        <x:v>Education × open standards</x:v>
      </x:c>
      <x:c r="H166" s="3" t="str">
        <x:v>High on existence; lower on effects</x:v>
      </x:c>
      <x:c r="I166" s="9" t="n">
        <x:v>46268</x:v>
      </x:c>
      <x:c r="J166" s="11" t="n">
        <x:f>IF(COUNTIF($E$6:E166,E166)=1,1,0)</x:f>
        <x:v>1</x:v>
      </x:c>
      <x:c r="K166" s="11" t="str">
        <x:v>Project / steward</x:v>
      </x:c>
    </x:row>
    <x:row r="167" ht="38" customHeight="1">
      <x:c r="A167" s="3" t="str">
        <x:v>P085</x:v>
      </x:c>
      <x:c r="B167" s="3" t="str">
        <x:v>Grep — Norway’s open curriculum data</x:v>
      </x:c>
      <x:c r="C167" s="3" t="n">
        <x:v>2</x:v>
      </x:c>
      <x:c r="D167" s="3" t="str">
        <x:v>Project / steward</x:v>
      </x:c>
      <x:c r="E167" s="3" t="str">
        <x:v>https://www.udir.no/in-english/curricula-in-english/</x:v>
      </x:c>
      <x:c r="F167" s="3" t="str">
        <x:v>Technical, licence, evaluation or corroborating detail</x:v>
      </x:c>
      <x:c r="G167" s="3" t="str">
        <x:v>Education × open standards</x:v>
      </x:c>
      <x:c r="H167" s="3" t="str">
        <x:v>High on existence; lower on effects</x:v>
      </x:c>
      <x:c r="I167" s="9" t="n">
        <x:v>46268</x:v>
      </x:c>
      <x:c r="J167" s="11" t="n">
        <x:f>IF(COUNTIF($E$6:E167,E167)=1,1,0)</x:f>
        <x:v>1</x:v>
      </x:c>
      <x:c r="K167" s="11" t="str">
        <x:v>Project / steward</x:v>
      </x:c>
    </x:row>
    <x:row r="168" ht="38" customHeight="1">
      <x:c r="A168" s="3" t="str">
        <x:v>P086</x:v>
      </x:c>
      <x:c r="B168" s="3" t="str">
        <x:v>England CBDS + Common Transfer File</x:v>
      </x:c>
      <x:c r="C168" s="3" t="n">
        <x:v>1</x:v>
      </x:c>
      <x:c r="D168" s="3" t="str">
        <x:v>Government / intergovernmental</x:v>
      </x:c>
      <x:c r="E168" s="3" t="str">
        <x:v>https://www.gov.uk/government/publications/common-basic-data-set-cbds-database</x:v>
      </x:c>
      <x:c r="F168" s="3" t="str">
        <x:v>Status, purpose, outputs and/or stewardship</x:v>
      </x:c>
      <x:c r="G168" s="3" t="str">
        <x:v>Education × open standards</x:v>
      </x:c>
      <x:c r="H168" s="3" t="str">
        <x:v>High on existence; lower on effects</x:v>
      </x:c>
      <x:c r="I168" s="9" t="n">
        <x:v>46268</x:v>
      </x:c>
      <x:c r="J168" s="11" t="n">
        <x:f>IF(COUNTIF($E$6:E168,E168)=1,1,0)</x:f>
        <x:v>1</x:v>
      </x:c>
      <x:c r="K168" s="11" t="str">
        <x:v>Government / intergovernmental</x:v>
      </x:c>
    </x:row>
    <x:row r="169" ht="38" customHeight="1">
      <x:c r="A169" s="3" t="str">
        <x:v>P086</x:v>
      </x:c>
      <x:c r="B169" s="3" t="str">
        <x:v>England CBDS + Common Transfer File</x:v>
      </x:c>
      <x:c r="C169" s="3" t="n">
        <x:v>2</x:v>
      </x:c>
      <x:c r="D169" s="3" t="str">
        <x:v>Government / intergovernmental</x:v>
      </x:c>
      <x:c r="E169" s="3" t="str">
        <x:v>https://www.gov.uk/government/publications/common-transfer-file-26-specification</x:v>
      </x:c>
      <x:c r="F169" s="3" t="str">
        <x:v>Technical, licence, evaluation or corroborating detail</x:v>
      </x:c>
      <x:c r="G169" s="3" t="str">
        <x:v>Education × open standards</x:v>
      </x:c>
      <x:c r="H169" s="3" t="str">
        <x:v>High on existence; lower on effects</x:v>
      </x:c>
      <x:c r="I169" s="9" t="n">
        <x:v>46268</x:v>
      </x:c>
      <x:c r="J169" s="11" t="n">
        <x:f>IF(COUNTIF($E$6:E169,E169)=1,1,0)</x:f>
        <x:v>1</x:v>
      </x:c>
      <x:c r="K169" s="11" t="str">
        <x:v>Government / intergovernmental</x:v>
      </x:c>
    </x:row>
    <x:row r="170" ht="32" customHeight="1">
      <x:c r="A170" s="3" t="str">
        <x:v>P087</x:v>
      </x:c>
      <x:c r="B170" s="3" t="str">
        <x:v>SDMX framework for education statistics</x:v>
      </x:c>
      <x:c r="C170" s="3" t="n">
        <x:v>1</x:v>
      </x:c>
      <x:c r="D170" s="3" t="str">
        <x:v>Standards body</x:v>
      </x:c>
      <x:c r="E170" s="3" t="str">
        <x:v>https://sdmx.org/sdmx-for-education/</x:v>
      </x:c>
      <x:c r="F170" s="3" t="str">
        <x:v>Status, purpose, outputs and/or stewardship</x:v>
      </x:c>
      <x:c r="G170" s="3" t="str">
        <x:v>Education × open standards</x:v>
      </x:c>
      <x:c r="H170" s="3" t="str">
        <x:v>High on existence; lower on effects</x:v>
      </x:c>
      <x:c r="I170" s="9" t="n">
        <x:v>46268</x:v>
      </x:c>
      <x:c r="J170" s="11" t="n">
        <x:f>IF(COUNTIF($E$6:E170,E170)=1,1,0)</x:f>
        <x:v>1</x:v>
      </x:c>
      <x:c r="K170" s="11" t="str">
        <x:v>Standards body</x:v>
      </x:c>
    </x:row>
    <x:row r="171" ht="38" customHeight="1">
      <x:c r="A171" s="3" t="str">
        <x:v>P087</x:v>
      </x:c>
      <x:c r="B171" s="3" t="str">
        <x:v>SDMX framework for education statistics</x:v>
      </x:c>
      <x:c r="C171" s="3" t="n">
        <x:v>2</x:v>
      </x:c>
      <x:c r="D171" s="3" t="str">
        <x:v>Government / intergovernmental</x:v>
      </x:c>
      <x:c r="E171" s="3" t="str">
        <x:v>https://databrowser.uis.unesco.org/</x:v>
      </x:c>
      <x:c r="F171" s="3" t="str">
        <x:v>Technical, licence, evaluation or corroborating detail</x:v>
      </x:c>
      <x:c r="G171" s="3" t="str">
        <x:v>Education × open standards</x:v>
      </x:c>
      <x:c r="H171" s="3" t="str">
        <x:v>High on existence; lower on effects</x:v>
      </x:c>
      <x:c r="I171" s="9" t="n">
        <x:v>46268</x:v>
      </x:c>
      <x:c r="J171" s="11" t="n">
        <x:f>IF(COUNTIF($E$6:E171,E171)=1,1,0)</x:f>
        <x:v>1</x:v>
      </x:c>
      <x:c r="K171" s="11" t="str">
        <x:v>Government / intergovernmental</x:v>
      </x:c>
    </x:row>
    <x:row r="172" ht="38" customHeight="1">
      <x:c r="A172" s="3" t="str">
        <x:v>P088</x:v>
      </x:c>
      <x:c r="B172" s="3" t="str">
        <x:v>Gateways to Public Digital Learning + 2026 Charter</x:v>
      </x:c>
      <x:c r="C172" s="3" t="n">
        <x:v>1</x:v>
      </x:c>
      <x:c r="D172" s="3" t="str">
        <x:v>Government / intergovernmental</x:v>
      </x:c>
      <x:c r="E172" s="3" t="str">
        <x:v>https://www.unesco.org/en/digital-education/learning-platforms-gateway</x:v>
      </x:c>
      <x:c r="F172" s="3" t="str">
        <x:v>Status, purpose, outputs and/or stewardship</x:v>
      </x:c>
      <x:c r="G172" s="3" t="str">
        <x:v>Education × open standards</x:v>
      </x:c>
      <x:c r="H172" s="3" t="str">
        <x:v>High on existence; lower on effects</x:v>
      </x:c>
      <x:c r="I172" s="9" t="n">
        <x:v>46268</x:v>
      </x:c>
      <x:c r="J172" s="11" t="n">
        <x:f>IF(COUNTIF($E$6:E172,E172)=1,1,0)</x:f>
        <x:v>1</x:v>
      </x:c>
      <x:c r="K172" s="11" t="str">
        <x:v>Government / intergovernmental</x:v>
      </x:c>
    </x:row>
    <x:row r="173" ht="38" customHeight="1">
      <x:c r="A173" s="3" t="str">
        <x:v>P088</x:v>
      </x:c>
      <x:c r="B173" s="3" t="str">
        <x:v>Gateways to Public Digital Learning + 2026 Charter</x:v>
      </x:c>
      <x:c r="C173" s="3" t="n">
        <x:v>2</x:v>
      </x:c>
      <x:c r="D173" s="3" t="str">
        <x:v>Government / intergovernmental</x:v>
      </x:c>
      <x:c r="E173" s="3" t="str">
        <x:v>https://www.unesco.org/en/articles/unesco-unicef-and-itu-launch-charter-public-digital-learning-platforms</x:v>
      </x:c>
      <x:c r="F173" s="3" t="str">
        <x:v>Technical, licence, evaluation or corroborating detail</x:v>
      </x:c>
      <x:c r="G173" s="3" t="str">
        <x:v>Education × open standards</x:v>
      </x:c>
      <x:c r="H173" s="3" t="str">
        <x:v>High on existence; lower on effects</x:v>
      </x:c>
      <x:c r="I173" s="9" t="n">
        <x:v>46268</x:v>
      </x:c>
      <x:c r="J173" s="11" t="n">
        <x:f>IF(COUNTIF($E$6:E173,E173)=1,1,0)</x:f>
        <x:v>1</x:v>
      </x:c>
      <x:c r="K173" s="11" t="str">
        <x:v>Government / intergovernmental</x:v>
      </x:c>
    </x:row>
    <x:row r="174" ht="38" customHeight="1">
      <x:c r="A174" s="3" t="str">
        <x:v>P089</x:v>
      </x:c>
      <x:c r="B174" s="3" t="str">
        <x:v>OERSI — Open Educational Resources Search Index</x:v>
      </x:c>
      <x:c r="C174" s="3" t="n">
        <x:v>1</x:v>
      </x:c>
      <x:c r="D174" s="3" t="str">
        <x:v>Project / steward</x:v>
      </x:c>
      <x:c r="E174" s="3" t="str">
        <x:v>https://oersi.org/pages/en/about/</x:v>
      </x:c>
      <x:c r="F174" s="3" t="str">
        <x:v>Status, purpose, outputs and/or stewardship</x:v>
      </x:c>
      <x:c r="G174" s="3" t="str">
        <x:v>Education × open standards</x:v>
      </x:c>
      <x:c r="H174" s="3" t="str">
        <x:v>High on existence; lower on effects</x:v>
      </x:c>
      <x:c r="I174" s="9" t="n">
        <x:v>46268</x:v>
      </x:c>
      <x:c r="J174" s="11" t="n">
        <x:f>IF(COUNTIF($E$6:E174,E174)=1,1,0)</x:f>
        <x:v>1</x:v>
      </x:c>
      <x:c r="K174" s="11" t="str">
        <x:v>Project / steward</x:v>
      </x:c>
    </x:row>
    <x:row r="175" ht="38" customHeight="1">
      <x:c r="A175" s="3" t="str">
        <x:v>P089</x:v>
      </x:c>
      <x:c r="B175" s="3" t="str">
        <x:v>OERSI — Open Educational Resources Search Index</x:v>
      </x:c>
      <x:c r="C175" s="3" t="n">
        <x:v>2</x:v>
      </x:c>
      <x:c r="D175" s="3" t="str">
        <x:v>Repository</x:v>
      </x:c>
      <x:c r="E175" s="3" t="str">
        <x:v>https://gitlab.com/oersi</x:v>
      </x:c>
      <x:c r="F175" s="3" t="str">
        <x:v>Technical, licence, evaluation or corroborating detail</x:v>
      </x:c>
      <x:c r="G175" s="3" t="str">
        <x:v>Education × open standards</x:v>
      </x:c>
      <x:c r="H175" s="3" t="str">
        <x:v>High on existence; lower on effects</x:v>
      </x:c>
      <x:c r="I175" s="9" t="n">
        <x:v>46268</x:v>
      </x:c>
      <x:c r="J175" s="11" t="n">
        <x:f>IF(COUNTIF($E$6:E175,E175)=1,1,0)</x:f>
        <x:v>1</x:v>
      </x:c>
      <x:c r="K175" s="11" t="str">
        <x:v>Repository</x:v>
      </x:c>
    </x:row>
    <x:row r="176" ht="32" customHeight="1">
      <x:c r="A176" s="3" t="str">
        <x:v>P090</x:v>
      </x:c>
      <x:c r="B176" s="3" t="str">
        <x:v>Global Digital Library</x:v>
      </x:c>
      <x:c r="C176" s="3" t="n">
        <x:v>1</x:v>
      </x:c>
      <x:c r="D176" s="3" t="str">
        <x:v>Project / steward</x:v>
      </x:c>
      <x:c r="E176" s="3" t="str">
        <x:v>https://digitallibrary.io/</x:v>
      </x:c>
      <x:c r="F176" s="3" t="str">
        <x:v>Status, purpose, outputs and/or stewardship</x:v>
      </x:c>
      <x:c r="G176" s="3" t="str">
        <x:v>Education × open standards</x:v>
      </x:c>
      <x:c r="H176" s="3" t="str">
        <x:v>High on existence; lower on effects</x:v>
      </x:c>
      <x:c r="I176" s="9" t="n">
        <x:v>46268</x:v>
      </x:c>
      <x:c r="J176" s="11" t="n">
        <x:f>IF(COUNTIF($E$6:E176,E176)=1,1,0)</x:f>
        <x:v>1</x:v>
      </x:c>
      <x:c r="K176" s="11" t="str">
        <x:v>Project / steward</x:v>
      </x:c>
    </x:row>
    <x:row r="177" ht="38" customHeight="1">
      <x:c r="A177" s="3" t="str">
        <x:v>P090</x:v>
      </x:c>
      <x:c r="B177" s="3" t="str">
        <x:v>Global Digital Library</x:v>
      </x:c>
      <x:c r="C177" s="3" t="n">
        <x:v>2</x:v>
      </x:c>
      <x:c r="D177" s="3" t="str">
        <x:v>Government / intergovernmental</x:v>
      </x:c>
      <x:c r="E177" s="3" t="str">
        <x:v>https://www.unesco.org/en/articles/global-digital-library-ignites-childrens-dream-reading-more-100-languages</x:v>
      </x:c>
      <x:c r="F177" s="3" t="str">
        <x:v>Technical, licence, evaluation or corroborating detail</x:v>
      </x:c>
      <x:c r="G177" s="3" t="str">
        <x:v>Education × open standards</x:v>
      </x:c>
      <x:c r="H177" s="3" t="str">
        <x:v>High on existence; lower on effects</x:v>
      </x:c>
      <x:c r="I177" s="9" t="n">
        <x:v>46268</x:v>
      </x:c>
      <x:c r="J177" s="11" t="n">
        <x:f>IF(COUNTIF($E$6:E177,E177)=1,1,0)</x:f>
        <x:v>1</x:v>
      </x:c>
      <x:c r="K177" s="11" t="str">
        <x:v>Government / intergovernmental</x:v>
      </x:c>
    </x:row>
    <x:row r="178" ht="38" customHeight="1">
      <x:c r="A178" s="3" t="str">
        <x:v>P091</x:v>
      </x:c>
      <x:c r="B178" s="3" t="str">
        <x:v>Science misconception benchmark (K–12 AI Infrastructure grantee)</x:v>
      </x:c>
      <x:c r="C178" s="3" t="n">
        <x:v>1</x:v>
      </x:c>
      <x:c r="D178" s="3" t="str">
        <x:v>Project / steward</x:v>
      </x:c>
      <x:c r="E178" s="3" t="str">
        <x:v>https://digitalpromise.org/2026/06/29/digital-promise-announces-first-grantees-of-the-k-12-ai-infrastructure-program/</x:v>
      </x:c>
      <x:c r="F178" s="3" t="str">
        <x:v>Status, purpose, outputs and/or stewardship</x:v>
      </x:c>
      <x:c r="G178" s="3" t="str">
        <x:v>AI × education × open</x:v>
      </x:c>
      <x:c r="H178" s="3" t="str">
        <x:v>High on existence; lower on effects</x:v>
      </x:c>
      <x:c r="I178" s="9" t="n">
        <x:v>46268</x:v>
      </x:c>
      <x:c r="J178" s="11" t="n">
        <x:f>IF(COUNTIF($E$6:E178,E178)=1,1,0)</x:f>
        <x:v>0</x:v>
      </x:c>
      <x:c r="K178" s="11" t="str">
        <x:v>Project / steward</x:v>
      </x:c>
    </x:row>
    <x:row r="179" ht="38" customHeight="1">
      <x:c r="A179" s="3" t="str">
        <x:v>P092</x:v>
      </x:c>
      <x:c r="B179" s="3" t="str">
        <x:v>Simulated student-model training pipeline (K–12 AI Infrastructure grantee)</x:v>
      </x:c>
      <x:c r="C179" s="3" t="n">
        <x:v>1</x:v>
      </x:c>
      <x:c r="D179" s="3" t="str">
        <x:v>Project / steward</x:v>
      </x:c>
      <x:c r="E179" s="3" t="str">
        <x:v>https://digitalpromise.org/2026/06/29/digital-promise-announces-first-grantees-of-the-k-12-ai-infrastructure-program/</x:v>
      </x:c>
      <x:c r="F179" s="3" t="str">
        <x:v>Status, purpose, outputs and/or stewardship</x:v>
      </x:c>
      <x:c r="G179" s="3" t="str">
        <x:v>AI × education × open</x:v>
      </x:c>
      <x:c r="H179" s="3" t="str">
        <x:v>High on existence; lower on effects</x:v>
      </x:c>
      <x:c r="I179" s="9" t="n">
        <x:v>46268</x:v>
      </x:c>
      <x:c r="J179" s="11" t="n">
        <x:f>IF(COUNTIF($E$6:E179,E179)=1,1,0)</x:f>
        <x:v>0</x:v>
      </x:c>
      <x:c r="K179" s="11" t="str">
        <x:v>Project / steward</x:v>
      </x:c>
    </x:row>
    <x:row r="180" ht="38" customHeight="1">
      <x:c r="A180" s="3" t="str">
        <x:v>P093</x:v>
      </x:c>
      <x:c r="B180" s="3" t="str">
        <x:v>Open ASR leaderboards for educational contexts</x:v>
      </x:c>
      <x:c r="C180" s="3" t="n">
        <x:v>1</x:v>
      </x:c>
      <x:c r="D180" s="3" t="str">
        <x:v>Project / steward</x:v>
      </x:c>
      <x:c r="E180" s="3" t="str">
        <x:v>https://digitalpromise.org/2026/06/29/digital-promise-announces-first-grantees-of-the-k-12-ai-infrastructure-program/</x:v>
      </x:c>
      <x:c r="F180" s="3" t="str">
        <x:v>Status, purpose, outputs and/or stewardship</x:v>
      </x:c>
      <x:c r="G180" s="3" t="str">
        <x:v>AI × education × open</x:v>
      </x:c>
      <x:c r="H180" s="3" t="str">
        <x:v>High on existence; lower on effects</x:v>
      </x:c>
      <x:c r="I180" s="9" t="n">
        <x:v>46268</x:v>
      </x:c>
      <x:c r="J180" s="11" t="n">
        <x:f>IF(COUNTIF($E$6:E180,E180)=1,1,0)</x:f>
        <x:v>0</x:v>
      </x:c>
      <x:c r="K180" s="11" t="str">
        <x:v>Project / steward</x:v>
      </x:c>
    </x:row>
    <x:row r="181" ht="38" customHeight="1">
      <x:c r="A181" s="3" t="str">
        <x:v>P094</x:v>
      </x:c>
      <x:c r="B181" s="3" t="str">
        <x:v>KB-TutorBench</x:v>
      </x:c>
      <x:c r="C181" s="3" t="n">
        <x:v>1</x:v>
      </x:c>
      <x:c r="D181" s="3" t="str">
        <x:v>Project / steward</x:v>
      </x:c>
      <x:c r="E181" s="3" t="str">
        <x:v>https://digitalpromise.org/2026/06/29/digital-promise-announces-first-grantees-of-the-k-12-ai-infrastructure-program/</x:v>
      </x:c>
      <x:c r="F181" s="3" t="str">
        <x:v>Status, purpose, outputs and/or stewardship</x:v>
      </x:c>
      <x:c r="G181" s="3" t="str">
        <x:v>AI × education × open</x:v>
      </x:c>
      <x:c r="H181" s="3" t="str">
        <x:v>High on existence; lower on effects</x:v>
      </x:c>
      <x:c r="I181" s="9" t="n">
        <x:v>46268</x:v>
      </x:c>
      <x:c r="J181" s="11" t="n">
        <x:f>IF(COUNTIF($E$6:E181,E181)=1,1,0)</x:f>
        <x:v>0</x:v>
      </x:c>
      <x:c r="K181" s="11" t="str">
        <x:v>Project / steward</x:v>
      </x:c>
    </x:row>
    <x:row r="182" ht="32" customHeight="1">
      <x:c r="A182" s="3" t="str">
        <x:v>P095</x:v>
      </x:c>
      <x:c r="B182" s="3" t="str">
        <x:v>Khan Tutoring Accuracy Dataset</x:v>
      </x:c>
      <x:c r="C182" s="3" t="n">
        <x:v>1</x:v>
      </x:c>
      <x:c r="D182" s="3" t="str">
        <x:v>Repository</x:v>
      </x:c>
      <x:c r="E182" s="3" t="str">
        <x:v>https://github.com/Khan/tutoring-accuracy-dataset</x:v>
      </x:c>
      <x:c r="F182" s="3" t="str">
        <x:v>Status, purpose, outputs and/or stewardship</x:v>
      </x:c>
      <x:c r="G182" s="3" t="str">
        <x:v>AI × education × open</x:v>
      </x:c>
      <x:c r="H182" s="3" t="str">
        <x:v>High on existence; lower on effects</x:v>
      </x:c>
      <x:c r="I182" s="9" t="n">
        <x:v>46268</x:v>
      </x:c>
      <x:c r="J182" s="11" t="n">
        <x:f>IF(COUNTIF($E$6:E182,E182)=1,1,0)</x:f>
        <x:v>1</x:v>
      </x:c>
      <x:c r="K182" s="11" t="str">
        <x:v>Repository</x:v>
      </x:c>
    </x:row>
    <x:row r="183" ht="38" customHeight="1">
      <x:c r="A183" s="3" t="str">
        <x:v>P096</x:v>
      </x:c>
      <x:c r="B183" s="3" t="str">
        <x:v>TeachSim on Open edX</x:v>
      </x:c>
      <x:c r="C183" s="3" t="n">
        <x:v>1</x:v>
      </x:c>
      <x:c r="D183" s="3" t="str">
        <x:v>Project / steward</x:v>
      </x:c>
      <x:c r="E183" s="3" t="str">
        <x:v>https://openedx.org/case-studies/teachsim-ai-powered-teacher-training-built-on-the-open-edx-platform/</x:v>
      </x:c>
      <x:c r="F183" s="3" t="str">
        <x:v>Status, purpose, outputs and/or stewardship</x:v>
      </x:c>
      <x:c r="G183" s="3" t="str">
        <x:v>AI × education × open</x:v>
      </x:c>
      <x:c r="H183" s="3" t="str">
        <x:v>High on existence; lower on effects</x:v>
      </x:c>
      <x:c r="I183" s="9" t="n">
        <x:v>46268</x:v>
      </x:c>
      <x:c r="J183" s="11" t="n">
        <x:f>IF(COUNTIF($E$6:E183,E183)=1,1,0)</x:f>
        <x:v>1</x:v>
      </x:c>
      <x:c r="K183" s="11" t="str">
        <x:v>Project / steward</x:v>
      </x:c>
    </x:row>
    <x:row r="184" ht="38" customHeight="1">
      <x:c r="A184" s="3" t="str">
        <x:v>P096</x:v>
      </x:c>
      <x:c r="B184" s="3" t="str">
        <x:v>TeachSim on Open edX</x:v>
      </x:c>
      <x:c r="C184" s="3" t="n">
        <x:v>2</x:v>
      </x:c>
      <x:c r="D184" s="3" t="str">
        <x:v>Project / steward</x:v>
      </x:c>
      <x:c r="E184" s="3" t="str">
        <x:v>https://openedx.org/</x:v>
      </x:c>
      <x:c r="F184" s="3" t="str">
        <x:v>Technical, licence, evaluation or corroborating detail</x:v>
      </x:c>
      <x:c r="G184" s="3" t="str">
        <x:v>AI × education × open</x:v>
      </x:c>
      <x:c r="H184" s="3" t="str">
        <x:v>High on existence; lower on effects</x:v>
      </x:c>
      <x:c r="I184" s="9" t="n">
        <x:v>46268</x:v>
      </x:c>
      <x:c r="J184" s="11" t="n">
        <x:f>IF(COUNTIF($E$6:E184,E184)=1,1,0)</x:f>
        <x:v>1</x:v>
      </x:c>
      <x:c r="K184" s="11" t="str">
        <x:v>Project / steward</x:v>
      </x:c>
    </x:row>
    <x:row r="185" ht="32" customHeight="1">
      <x:c r="A185" s="3" t="str">
        <x:v>P097</x:v>
      </x:c>
      <x:c r="B185" s="3" t="str">
        <x:v>UBC OER-AI Assistant</x:v>
      </x:c>
      <x:c r="C185" s="3" t="n">
        <x:v>1</x:v>
      </x:c>
      <x:c r="D185" s="3" t="str">
        <x:v>Repository</x:v>
      </x:c>
      <x:c r="E185" s="3" t="str">
        <x:v>https://github.com/UBC-CIC/OER-AI</x:v>
      </x:c>
      <x:c r="F185" s="3" t="str">
        <x:v>Status, purpose, outputs and/or stewardship</x:v>
      </x:c>
      <x:c r="G185" s="3" t="str">
        <x:v>AI × education × open</x:v>
      </x:c>
      <x:c r="H185" s="3" t="str">
        <x:v>High on existence; lower on effects</x:v>
      </x:c>
      <x:c r="I185" s="9" t="n">
        <x:v>46268</x:v>
      </x:c>
      <x:c r="J185" s="11" t="n">
        <x:f>IF(COUNTIF($E$6:E185,E185)=1,1,0)</x:f>
        <x:v>1</x:v>
      </x:c>
      <x:c r="K185" s="11" t="str">
        <x:v>Repository</x:v>
      </x:c>
    </x:row>
    <x:row r="186" ht="32" customHeight="1">
      <x:c r="A186" s="3" t="str">
        <x:v>P098</x:v>
      </x:c>
      <x:c r="B186" s="3" t="str">
        <x:v>Generative Textbooks</x:v>
      </x:c>
      <x:c r="C186" s="3" t="n">
        <x:v>1</x:v>
      </x:c>
      <x:c r="D186" s="3" t="str">
        <x:v>Project / steward</x:v>
      </x:c>
      <x:c r="E186" s="3" t="str">
        <x:v>https://generativetextbooks.org/</x:v>
      </x:c>
      <x:c r="F186" s="3" t="str">
        <x:v>Status, purpose, outputs and/or stewardship</x:v>
      </x:c>
      <x:c r="G186" s="3" t="str">
        <x:v>AI × education × open</x:v>
      </x:c>
      <x:c r="H186" s="3" t="str">
        <x:v>Medium</x:v>
      </x:c>
      <x:c r="I186" s="9" t="n">
        <x:v>46268</x:v>
      </x:c>
      <x:c r="J186" s="11" t="n">
        <x:f>IF(COUNTIF($E$6:E186,E186)=1,1,0)</x:f>
        <x:v>1</x:v>
      </x:c>
      <x:c r="K186" s="11" t="str">
        <x:v>Project / steward</x:v>
      </x:c>
    </x:row>
    <x:row r="187" ht="38" customHeight="1">
      <x:c r="A187" s="3" t="str">
        <x:v>P098</x:v>
      </x:c>
      <x:c r="B187" s="3" t="str">
        <x:v>Generative Textbooks</x:v>
      </x:c>
      <x:c r="C187" s="3" t="n">
        <x:v>2</x:v>
      </x:c>
      <x:c r="D187" s="3" t="str">
        <x:v>Project / steward</x:v>
      </x:c>
      <x:c r="E187" s="3" t="str">
        <x:v>https://opencontent.org/blog/</x:v>
      </x:c>
      <x:c r="F187" s="3" t="str">
        <x:v>Technical, licence, evaluation or corroborating detail</x:v>
      </x:c>
      <x:c r="G187" s="3" t="str">
        <x:v>AI × education × open</x:v>
      </x:c>
      <x:c r="H187" s="3" t="str">
        <x:v>Medium</x:v>
      </x:c>
      <x:c r="I187" s="9" t="n">
        <x:v>46268</x:v>
      </x:c>
      <x:c r="J187" s="11" t="n">
        <x:f>IF(COUNTIF($E$6:E187,E187)=1,1,0)</x:f>
        <x:v>1</x:v>
      </x:c>
      <x:c r="K187" s="11" t="str">
        <x:v>Project / steward</x:v>
      </x:c>
    </x:row>
    <x:row r="188" ht="38" customHeight="1">
      <x:c r="A188" s="3" t="str">
        <x:v>P099</x:v>
      </x:c>
      <x:c r="B188" s="3" t="str">
        <x:v>SmartLearning Hub AI Tutor</x:v>
      </x:c>
      <x:c r="C188" s="3" t="n">
        <x:v>1</x:v>
      </x:c>
      <x:c r="D188" s="3" t="str">
        <x:v>Project / steward</x:v>
      </x:c>
      <x:c r="E188" s="3" t="str">
        <x:v>https://today.ucsd.edu/story/this-bespoke-ai-tutor-helps-students-learning</x:v>
      </x:c>
      <x:c r="F188" s="3" t="str">
        <x:v>Status, purpose, outputs and/or stewardship</x:v>
      </x:c>
      <x:c r="G188" s="3" t="str">
        <x:v>AI × education × open</x:v>
      </x:c>
      <x:c r="H188" s="3" t="str">
        <x:v>High on existence; lower on effects</x:v>
      </x:c>
      <x:c r="I188" s="9" t="n">
        <x:v>46268</x:v>
      </x:c>
      <x:c r="J188" s="11" t="n">
        <x:f>IF(COUNTIF($E$6:E188,E188)=1,1,0)</x:f>
        <x:v>1</x:v>
      </x:c>
      <x:c r="K188" s="11" t="str">
        <x:v>Project / steward</x:v>
      </x:c>
    </x:row>
    <x:row r="189" ht="32" customHeight="1">
      <x:c r="A189" s="3" t="str">
        <x:v>P100</x:v>
      </x:c>
      <x:c r="B189" s="3" t="str">
        <x:v>Kindly</x:v>
      </x:c>
      <x:c r="C189" s="3" t="n">
        <x:v>1</x:v>
      </x:c>
      <x:c r="D189" s="3" t="str">
        <x:v>Government / intergovernmental</x:v>
      </x:c>
      <x:c r="E189" s="3" t="str">
        <x:v>https://www.unicef.org/innovation/end-cyberbullying-kindly</x:v>
      </x:c>
      <x:c r="F189" s="3" t="str">
        <x:v>Status, purpose, outputs and/or stewardship</x:v>
      </x:c>
      <x:c r="G189" s="3" t="str">
        <x:v>AI × education × open</x:v>
      </x:c>
      <x:c r="H189" s="3" t="str">
        <x:v>Medium</x:v>
      </x:c>
      <x:c r="I189" s="9" t="n">
        <x:v>46268</x:v>
      </x:c>
      <x:c r="J189" s="11" t="n">
        <x:f>IF(COUNTIF($E$6:E189,E189)=1,1,0)</x:f>
        <x:v>1</x:v>
      </x:c>
      <x:c r="K189" s="11" t="str">
        <x:v>Government / intergovernmental</x:v>
      </x:c>
    </x:row>
    <x:row r="190" ht="51" customHeight="1">
      <x:c r="A190" s="3" t="str">
        <x:v>P101</x:v>
      </x:c>
      <x:c r="B190" s="3" t="str">
        <x:v>England AI Tutoring Pioneers / Sovereign Education Benchmark / EdTech Testbeds</x:v>
      </x:c>
      <x:c r="C190" s="3" t="n">
        <x:v>1</x:v>
      </x:c>
      <x:c r="D190" s="3" t="str">
        <x:v>Government / intergovernmental</x:v>
      </x:c>
      <x:c r="E190" s="3" t="str">
        <x:v>https://ai.gov.uk/our-work/education/</x:v>
      </x:c>
      <x:c r="F190" s="3" t="str">
        <x:v>Authoritative programme purpose, connected components and stated maturity; checked 2026-09-04</x:v>
      </x:c>
      <x:c r="G190" s="3" t="str">
        <x:v>AI × education</x:v>
      </x:c>
      <x:c r="H190" s="3" t="str">
        <x:v>High on programme/procurement; medium on governance evidence; low on effects</x:v>
      </x:c>
      <x:c r="I190" s="9" t="n">
        <x:v>46269</x:v>
      </x:c>
      <x:c r="J190" s="11" t="n">
        <x:f>IF(COUNTIF($E$6:E190,E190)=1,1,0)</x:f>
        <x:v>1</x:v>
      </x:c>
      <x:c r="K190" s="11" t="str">
        <x:v>Government / intergovernmental</x:v>
      </x:c>
    </x:row>
    <x:row r="191" ht="51" customHeight="1">
      <x:c r="A191" s="3" t="str">
        <x:v>P101</x:v>
      </x:c>
      <x:c r="B191" s="3" t="str">
        <x:v>England AI Tutoring Pioneers / Sovereign Education Benchmark / EdTech Testbeds</x:v>
      </x:c>
      <x:c r="C191" s="3" t="n">
        <x:v>2</x:v>
      </x:c>
      <x:c r="D191" s="3" t="str">
        <x:v>Government procurement</x:v>
      </x:c>
      <x:c r="E191" s="3" t="str">
        <x:v>https://www.find-tender.service.gov.uk/procurement/ocds-h6vhtk-069256</x:v>
      </x:c>
      <x:c r="F191" s="3" t="str">
        <x:v>Final eight-contract cohort and R&amp;D/commercialisation scope; supersedes earlier Google and six-supplier accounts</x:v>
      </x:c>
      <x:c r="G191" s="3" t="str">
        <x:v>AI × education</x:v>
      </x:c>
      <x:c r="H191" s="3" t="str">
        <x:v>High on programme/procurement; medium on governance evidence; low on effects</x:v>
      </x:c>
      <x:c r="I191" s="9" t="n">
        <x:v>46269</x:v>
      </x:c>
      <x:c r="J191" s="11" t="n">
        <x:f>IF(COUNTIF($E$6:E191,E191)=1,1,0)</x:f>
        <x:v>1</x:v>
      </x:c>
      <x:c r="K191" s="11" t="str">
        <x:v>Government procurement</x:v>
      </x:c>
    </x:row>
    <x:row r="192" ht="90" customHeight="1">
      <x:c r="A192" s="3" t="str">
        <x:v>P101</x:v>
      </x:c>
      <x:c r="B192" s="3" t="str">
        <x:v>England AI Tutoring Pioneers / Sovereign Education Benchmark / EdTech Testbeds</x:v>
      </x:c>
      <x:c r="C192" s="3" t="n">
        <x:v>3</x:v>
      </x:c>
      <x:c r="D192" s="3" t="str">
        <x:v>Affected-stakeholder evidence / parliamentary host</x:v>
      </x:c>
      <x:c r="E192" s="3" t="str">
        <x:v>https://committees.parliament.uk/writtenevidence/167444/html/</x:v>
      </x:c>
      <x:c r="F192" s="3" t="str">
        <x:v>NEU evidence published 2026-06-09, based on a 2026-02-05–16 survey of 9,408 teachers: affected-practitioner perceptions and assurance demands only; reweighted, self-selected union-member sample; not product or outcome evidence</x:v>
      </x:c>
      <x:c r="G192" s="3" t="str">
        <x:v>AI × education</x:v>
      </x:c>
      <x:c r="H192" s="3" t="str">
        <x:v>High on programme/procurement; medium on governance evidence; low on effects</x:v>
      </x:c>
      <x:c r="I192" s="9" t="n">
        <x:v>46269</x:v>
      </x:c>
      <x:c r="J192" s="11" t="n">
        <x:f>IF(COUNTIF($E$6:E192,E192)=1,1,0)</x:f>
        <x:v>1</x:v>
      </x:c>
      <x:c r="K192" s="11" t="str">
        <x:v>Affected-stakeholder evidence / parliamentary host</x:v>
      </x:c>
    </x:row>
    <x:row r="193" ht="77" customHeight="1">
      <x:c r="A193" s="3" t="str">
        <x:v>P101</x:v>
      </x:c>
      <x:c r="B193" s="3" t="str">
        <x:v>England AI Tutoring Pioneers / Sovereign Education Benchmark / EdTech Testbeds</x:v>
      </x:c>
      <x:c r="C193" s="3" t="n">
        <x:v>4</x:v>
      </x:c>
      <x:c r="D193" s="3" t="str">
        <x:v>Peer-reviewed policy research</x:v>
      </x:c>
      <x:c r="E193" s="3" t="str">
        <x:v>https://doi.org/10.1080/14767724.2026.2720476</x:v>
      </x:c>
      <x:c r="F193" s="3" t="str">
        <x:v>Documentary policy analysis published online 2026-08-25; supports an “experimental futuring” governance interpretation, not capture, misconduct, product effects or pupil outcomes</x:v>
      </x:c>
      <x:c r="G193" s="3" t="str">
        <x:v>AI × education</x:v>
      </x:c>
      <x:c r="H193" s="3" t="str">
        <x:v>High on programme/procurement; medium on governance evidence; low on effects</x:v>
      </x:c>
      <x:c r="I193" s="9" t="n">
        <x:v>46269</x:v>
      </x:c>
      <x:c r="J193" s="11" t="n">
        <x:f>IF(COUNTIF($E$6:E193,E193)=1,1,0)</x:f>
        <x:v>1</x:v>
      </x:c>
      <x:c r="K193" s="11" t="str">
        <x:v>Peer-reviewed policy research</x:v>
      </x:c>
    </x:row>
    <x:row r="194" ht="64" customHeight="1">
      <x:c r="A194" s="3" t="str">
        <x:v>P101</x:v>
      </x:c>
      <x:c r="B194" s="3" t="str">
        <x:v>England AI Tutoring Pioneers / Sovereign Education Benchmark / EdTech Testbeds</x:v>
      </x:c>
      <x:c r="C194" s="3" t="n">
        <x:v>5</x:v>
      </x:c>
      <x:c r="D194" s="3" t="str">
        <x:v>Expert commentary</x:v>
      </x:c>
      <x:c r="E194" s="3" t="str">
        <x:v>https://codeactsineducation.wordpress.com/2026/08/27/prototype-testing-scaling-and-standardizing-ai-tutors-in-schools/</x:v>
      </x:c>
      <x:c r="F194" s="3" t="str">
        <x:v>Author synthesis published 2026-08-27; interpretive context only. Its six-firm, Google and Anthropic/Pearson details are stale and subordinate to the final procurement record</x:v>
      </x:c>
      <x:c r="G194" s="3" t="str">
        <x:v>AI × education</x:v>
      </x:c>
      <x:c r="H194" s="3" t="str">
        <x:v>High on programme/procurement; medium on governance evidence; low on effects</x:v>
      </x:c>
      <x:c r="I194" s="9" t="n">
        <x:v>46269</x:v>
      </x:c>
      <x:c r="J194" s="11" t="n">
        <x:f>IF(COUNTIF($E$6:E194,E194)=1,1,0)</x:f>
        <x:v>1</x:v>
      </x:c>
      <x:c r="K194" s="11" t="str">
        <x:v>Expert commentary</x:v>
      </x:c>
    </x:row>
    <x:row r="195" ht="77" customHeight="1">
      <x:c r="A195" s="3" t="str">
        <x:v>P102</x:v>
      </x:c>
      <x:c r="B195" s="3" t="str">
        <x:v>i.AI petri-edu</x:v>
      </x:c>
      <x:c r="C195" s="3" t="n">
        <x:v>1</x:v>
      </x:c>
      <x:c r="D195" s="3" t="str">
        <x:v>Repository</x:v>
      </x:c>
      <x:c r="E195" s="3" t="str">
        <x:v>https://github.com/i-dot-ai/petri-edu</x:v>
      </x:c>
      <x:c r="F195" s="3" t="str">
        <x:v>First-party public MIT-licensed education-specialised alignment-auditing artifact, created 2026-02-11; establishes artifact and licence, not deployment, results or a benchmark relationship</x:v>
      </x:c>
      <x:c r="G195" s="3" t="str">
        <x:v>AI × education × open</x:v>
      </x:c>
      <x:c r="H195" s="3" t="str">
        <x:v>High on artifact/licence; low on programme link/effects</x:v>
      </x:c>
      <x:c r="I195" s="9" t="n">
        <x:v>46269</x:v>
      </x:c>
      <x:c r="J195" s="11" t="n">
        <x:f>IF(COUNTIF($E$6:E195,E195)=1,1,0)</x:f>
        <x:v>1</x:v>
      </x:c>
      <x:c r="K195" s="11" t="str">
        <x:v>Repository</x:v>
      </x:c>
    </x:row>
    <x:row r="196" ht="77" customHeight="1">
      <x:c r="A196" s="3" t="str">
        <x:v>P102</x:v>
      </x:c>
      <x:c r="B196" s="3" t="str">
        <x:v>i.AI petri-edu</x:v>
      </x:c>
      <x:c r="C196" s="3" t="n">
        <x:v>2</x:v>
      </x:c>
      <x:c r="D196" s="3" t="str">
        <x:v>Repository</x:v>
      </x:c>
      <x:c r="E196" s="3" t="str">
        <x:v>https://github.com/i-dot-ai/petri-edu/tree/jearly/edu-release</x:v>
      </x:c>
      <x:c r="F196" s="3" t="str">
        <x:v>Education-release branch with i.AI-authored adaptations through 2026-06-02; no public education-specific scenarios, dataset, results, governance or verified Sovereign Education Benchmark link located</x:v>
      </x:c>
      <x:c r="G196" s="3" t="str">
        <x:v>AI × education × open</x:v>
      </x:c>
      <x:c r="H196" s="3" t="str">
        <x:v>High on artifact/licence; low on programme link/effects</x:v>
      </x:c>
      <x:c r="I196" s="9" t="n">
        <x:v>46269</x:v>
      </x:c>
      <x:c r="J196" s="11" t="n">
        <x:f>IF(COUNTIF($E$6:E196,E196)=1,1,0)</x:f>
        <x:v>1</x:v>
      </x:c>
      <x:c r="K196" s="11" t="str">
        <x:v>Repository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280f10ddbebb47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6" hidden="0" customWidth="1"/>
    <x:col min="3" max="3" width="46" hidden="0" customWidth="1"/>
    <x:col min="4" max="4" width="46" hidden="0" customWidth="1"/>
  </x:cols>
  <x:sheetData>
    <x:row r="1" ht="38" customHeight="1">
      <x:c r="A1" s="5" t="str">
        <x:v>Taxonomy and interpretation</x:v>
      </x:c>
      <x:c r="B1" s="5"/>
      <x:c r="C1" s="5"/>
      <x:c r="D1" s="5"/>
    </x:row>
    <x:row r="2" ht="27" customHeight="1">
      <x:c r="A2" s="7" t="str">
        <x:v>Definitions guide filtering. No overall quality score is computed. Openness, evidence, rights, public purpose and achieved value remain distinct.</x:v>
      </x:c>
      <x:c r="B2" s="7"/>
      <x:c r="C2" s="7"/>
      <x:c r="D2" s="7"/>
    </x:row>
    <x:row r="3" ht="27" customHeight="1">
      <x:c r="A3" s="7"/>
      <x:c r="B3" s="7"/>
      <x:c r="C3" s="7"/>
      <x:c r="D3" s="7"/>
    </x:row>
    <x:row r="4" ht="34" customHeight="1">
      <x:c r="A4" s="3"/>
      <x:c r="B4" s="3"/>
      <x:c r="C4" s="3"/>
      <x:c r="D4" s="3"/>
    </x:row>
    <x:row r="5" ht="34" customHeight="1">
      <x:c r="A5" s="8" t="str">
        <x:v>Dimension / question</x:v>
      </x:c>
      <x:c r="B5" s="8" t="str">
        <x:v>Meaning</x:v>
      </x:c>
      <x:c r="C5" s="8" t="str">
        <x:v>How to inspect</x:v>
      </x:c>
      <x:c r="D5" s="8" t="str">
        <x:v>Boundary</x:v>
      </x:c>
    </x:row>
    <x:row r="6" ht="32" customHeight="1">
      <x:c r="A6" s="3" t="str">
        <x:v>Open is not one variable</x:v>
      </x:c>
      <x:c r="B6" s="3" t="str"/>
      <x:c r="C6" s="3" t="str"/>
      <x:c r="D6" s="3" t="str"/>
    </x:row>
    <x:row r="7" ht="38" customHeight="1">
      <x:c r="A7" s="3" t="str">
        <x:v>Open specification / interface</x:v>
      </x:c>
      <x:c r="B7" s="3" t="str">
        <x:v>An inspectable and implementable protocol, schema or API.</x:v>
      </x:c>
      <x:c r="C7" s="3" t="str">
        <x:v>Ask: exact version/profile? RF to implement? derivative-spec restrictions?</x:v>
      </x:c>
      <x:c r="D7" s="3" t="str">
        <x:v>Does not imply open code, content, data or certification.</x:v>
      </x:c>
    </x:row>
    <x:row r="8" ht="38" customHeight="1">
      <x:c r="A8" s="3" t="str">
        <x:v>Open-source code</x:v>
      </x:c>
      <x:c r="B8" s="3" t="str">
        <x:v>Code carrying a recognised reuse licence.</x:v>
      </x:c>
      <x:c r="C8" s="3" t="str">
        <x:v>Ask: repository licence, dependency licences, maintenance, deployability.</x:v>
      </x:c>
      <x:c r="D8" s="3" t="str">
        <x:v>A public repository without a licence is not reusable open source.</x:v>
      </x:c>
    </x:row>
    <x:row r="9" ht="51" customHeight="1">
      <x:c r="A9" s="3" t="str">
        <x:v>Open content / data / model assets</x:v>
      </x:c>
      <x:c r="B9" s="3" t="str">
        <x:v>Educational content, metadata, datasets, weights or evaluation assets under explicit reuse terms.</x:v>
      </x:c>
      <x:c r="C9" s="3" t="str">
        <x:v>Ask: item-level provenance, licence compatibility, sensitive-data controls.</x:v>
      </x:c>
      <x:c r="D9" s="3" t="str">
        <x:v>Open raw learner data may be inappropriate; controlled access can be responsible openness.</x:v>
      </x:c>
    </x:row>
    <x:row r="10" ht="51" customHeight="1">
      <x:c r="A10" s="3" t="str">
        <x:v>Access model</x:v>
      </x:c>
      <x:c r="B10" s="3" t="str">
        <x:v>Whether users can access a free service, public procurement, pilot, self-hosted product or paid offering.</x:v>
      </x:c>
      <x:c r="C10" s="3" t="str">
        <x:v>Ask: eligibility, cost, hosting, lock-in and exit route.</x:v>
      </x:c>
      <x:c r="D10" s="3" t="str">
        <x:v>Free access is not OER or open source.</x:v>
      </x:c>
    </x:row>
    <x:row r="11" ht="32" customHeight="1">
      <x:c r="A11" s="3" t="str">
        <x:v>Evidence bands</x:v>
      </x:c>
      <x:c r="B11" s="3" t="str"/>
      <x:c r="C11" s="3" t="str"/>
      <x:c r="D11" s="3" t="str"/>
    </x:row>
    <x:row r="12" ht="38" customHeight="1">
      <x:c r="A12" s="3" t="str">
        <x:v>Causal learner outcomes</x:v>
      </x:c>
      <x:c r="B12" s="3" t="str">
        <x:v>Randomised or credible quasi-experimental effects on learner outcomes.</x:v>
      </x:c>
      <x:c r="C12" s="3" t="str">
        <x:v>Strongest for intervention effectiveness.</x:v>
      </x:c>
      <x:c r="D12" s="3" t="str">
        <x:v>Check context, attrition, clustering, outcome choice, preregistration and independence.</x:v>
      </x:c>
    </x:row>
    <x:row r="13" ht="38" customHeight="1">
      <x:c r="A13" s="3" t="str">
        <x:v>Controlled / peer-reviewed</x:v>
      </x:c>
      <x:c r="B13" s="3" t="str">
        <x:v>Learner or teacher study with structured comparison or peer review.</x:v>
      </x:c>
      <x:c r="C13" s="3" t="str">
        <x:v>Useful but not automatically causal or generalisable.</x:v>
      </x:c>
      <x:c r="D13" s="3" t="str">
        <x:v>Separate model benchmark, perceptions, practice change and attainment.</x:v>
      </x:c>
    </x:row>
    <x:row r="14" ht="38" customHeight="1">
      <x:c r="A14" s="3" t="str">
        <x:v>Implementation evaluation</x:v>
      </x:c>
      <x:c r="B14" s="3" t="str">
        <x:v>Structured observation, mixed methods, user research or programme evaluation.</x:v>
      </x:c>
      <x:c r="C14" s="3" t="str">
        <x:v>Useful for feasibility, adoption and governance.</x:v>
      </x:c>
      <x:c r="D14" s="3" t="str">
        <x:v>A ‘successful pilot’ may only mean safe/usable.</x:v>
      </x:c>
    </x:row>
    <x:row r="15" ht="51" customHeight="1">
      <x:c r="A15" s="3" t="str">
        <x:v>Technical / conformance / adoption</x:v>
      </x:c>
      <x:c r="B15" s="3" t="str">
        <x:v>Benchmarks, validators, certified products, live integrations or transaction/reach signals.</x:v>
      </x:c>
      <x:c r="C15" s="3" t="str">
        <x:v>Appropriate for standards and infrastructure.</x:v>
      </x:c>
      <x:c r="D15" s="3" t="str">
        <x:v>Does not demonstrate educational benefit.</x:v>
      </x:c>
    </x:row>
    <x:row r="16" ht="38" customHeight="1">
      <x:c r="A16" s="3" t="str">
        <x:v>Descriptive only</x:v>
      </x:c>
      <x:c r="B16" s="3" t="str">
        <x:v>Accounts, downloads, satisfaction or steward claims.</x:v>
      </x:c>
      <x:c r="C16" s="3" t="str">
        <x:v>Discovery signal only.</x:v>
      </x:c>
      <x:c r="D16" s="3" t="str">
        <x:v>Treat as first-party unless independently corroborated.</x:v>
      </x:c>
    </x:row>
    <x:row r="17" ht="38" customHeight="1">
      <x:c r="A17" s="3" t="str">
        <x:v>Pre-output / planned</x:v>
      </x:c>
      <x:c r="B17" s="3" t="str">
        <x:v>RFP, grant or announced work without shipped assets/results.</x:v>
      </x:c>
      <x:c r="C17" s="3" t="str">
        <x:v>Useful horizon signal.</x:v>
      </x:c>
      <x:c r="D17" s="3" t="str">
        <x:v>Never count promised openness as delivered openness.</x:v>
      </x:c>
    </x:row>
    <x:row r="18" ht="38" customHeight="1">
      <x:c r="A18" s="3" t="str">
        <x:v>Normative / framework</x:v>
      </x:c>
      <x:c r="B18" s="3" t="str">
        <x:v>Consultative or formal framework rather than an intervention.</x:v>
      </x:c>
      <x:c r="C18" s="3" t="str">
        <x:v>Assess legitimacy, process, uptake and usability.</x:v>
      </x:c>
      <x:c r="D18" s="3" t="str">
        <x:v>Classroom RCT is usually the wrong test.</x:v>
      </x:c>
    </x:row>
    <x:row r="19" ht="32" customHeight="1">
      <x:c r="A19" s="3" t="str">
        <x:v>Inclusion, source and confidence rules</x:v>
      </x:c>
      <x:c r="B19" s="3" t="str"/>
      <x:c r="C19" s="3" t="str"/>
      <x:c r="D19" s="3" t="str"/>
    </x:row>
    <x:row r="20" ht="64" customHeight="1">
      <x:c r="A20" s="3" t="str">
        <x:v>Scope</x:v>
      </x:c>
      <x:c r="B20" s="3" t="str">
        <x:v>Named projects, programmes, standards families, public infrastructures, research consortia, open systems and major deployments.</x:v>
      </x:c>
      <x:c r="C20" s="3" t="str">
        <x:v>Global means broad geographic coverage, not every project.</x:v>
      </x:c>
      <x:c r="D20" s="3" t="str">
        <x:v>Original 100 checked 3 September 2026; targeted successor adds P101/P102 first found 4 September. Detailed studies in document 10 remain separately dated.</x:v>
      </x:c>
    </x:row>
    <x:row r="21" ht="51" customHeight="1">
      <x:c r="A21" s="3" t="str">
        <x:v>Source priority</x:v>
      </x:c>
      <x:c r="B21" s="3" t="str">
        <x:v>Standards bodies; government/intergovernmental pages; official repositories; public funders; university projects; research papers.</x:v>
      </x:c>
      <x:c r="C21" s="3" t="str">
        <x:v>Independent evidence added where it changes interpretation.</x:v>
      </x:c>
      <x:c r="D21" s="3" t="str">
        <x:v>Vendor or steward claims are labelled as such.</x:v>
      </x:c>
    </x:row>
    <x:row r="22" ht="38" customHeight="1">
      <x:c r="A22" s="3" t="str">
        <x:v>Confidence</x:v>
      </x:c>
      <x:c r="B22" s="3" t="str">
        <x:v>Confidence is about the factual record, not expected impact.</x:v>
      </x:c>
      <x:c r="C22" s="3" t="str">
        <x:v>High may mean a project certainly exists while effects remain unknown.</x:v>
      </x:c>
      <x:c r="D22" s="3" t="str">
        <x:v>Contradictions are preserved in caveats rather than silently reconciled.</x:v>
      </x:c>
    </x:row>
    <x:row r="23" ht="38" customHeight="1">
      <x:c r="A23" s="3" t="str">
        <x:v>Public good / equity</x:v>
      </x:c>
      <x:c r="B23" s="3" t="str">
        <x:v>Records intent, target users, access constraints, localisation and governance.</x:v>
      </x:c>
      <x:c r="C23" s="3" t="str">
        <x:v>Later diligence should test actual distribution of benefit and harm.</x:v>
      </x:c>
      <x:c r="D23" s="3" t="str">
        <x:v>Motivation is not outcome evidence.</x:v>
      </x:c>
    </x:row>
    <x:row r="24" ht="51" customHeight="1">
      <x:c r="A24" s="3" t="str">
        <x:v>Privacy / safety</x:v>
      </x:c>
      <x:c r="B24" s="3" t="str">
        <x:v>Flags data type, minors, dialogue, speech, writing, multimodal sensing, hosting and provider dependency.</x:v>
      </x:c>
      <x:c r="C24" s="3" t="str">
        <x:v>Later diligence should seek audits, retention, red-team and subgroup error evidence.</x:v>
      </x:c>
      <x:c r="D24" s="3" t="str">
        <x:v>Security, privacy, validity and pedagogical safety are distinct.</x:v>
      </x:c>
    </x:row>
    <x:row r="25" ht="32" customHeight="1">
      <x:c r="A25" s="3" t="str">
        <x:v>Recommended next-pass diligence</x:v>
      </x:c>
      <x:c r="B25" s="3" t="str"/>
      <x:c r="C25" s="3" t="str"/>
      <x:c r="D25" s="3" t="str"/>
    </x:row>
    <x:row r="26" ht="51" customHeight="1">
      <x:c r="A26" s="3" t="str">
        <x:v>1. Verify status</x:v>
      </x:c>
      <x:c r="B26" s="3" t="str">
        <x:v>Confirm current owner, funding, active users, release cadence and whether the service still operates.</x:v>
      </x:c>
      <x:c r="C26" s="3" t="str">
        <x:v>Retrieve archival evidence where a site has disappeared.</x:v>
      </x:c>
      <x:c r="D26" s="3" t="str">
        <x:v>Prioritise rolled-back, completed and pre-output records.</x:v>
      </x:c>
    </x:row>
    <x:row r="27" ht="38" customHeight="1">
      <x:c r="A27" s="3" t="str">
        <x:v>2. Audit openness</x:v>
      </x:c>
      <x:c r="B27" s="3" t="str">
        <x:v>Read exact spec, repository, content, data and model licences plus dependencies.</x:v>
      </x:c>
      <x:c r="C27" s="3" t="str">
        <x:v>Record version/profile and conformance route.</x:v>
      </x:c>
      <x:c r="D27" s="3" t="str">
        <x:v>Do not accept ‘open’, ‘free’ or ‘public’ without the legal/technical object.</x:v>
      </x:c>
    </x:row>
    <x:row r="28" ht="51" customHeight="1">
      <x:c r="A28" s="3" t="str">
        <x:v>3. Appraise evidence</x:v>
      </x:c>
      <x:c r="B28" s="3" t="str">
        <x:v>Retrieve full studies and protocols; distinguish attainment, mastery, practice, perception, safety and technical accuracy.</x:v>
      </x:c>
      <x:c r="C28" s="3" t="str">
        <x:v>Check independence and subgroup reporting.</x:v>
      </x:c>
      <x:c r="D28" s="3" t="str">
        <x:v>Avoid transferring old-version evidence to a current product.</x:v>
      </x:c>
    </x:row>
    <x:row r="29" ht="51" customHeight="1">
      <x:c r="A29" s="3" t="str">
        <x:v>4. Trace data/governance</x:v>
      </x:c>
      <x:c r="B29" s="3" t="str">
        <x:v>Map data fields, flows, processors, residency, retention, model training, audit and contestability.</x:v>
      </x:c>
      <x:c r="C29" s="3" t="str">
        <x:v>Inspect procurement, exit and provider-change clauses.</x:v>
      </x:c>
      <x:c r="D29" s="3" t="str">
        <x:v>Use stricter thresholds for minors and disability/speech data.</x:v>
      </x:c>
    </x:row>
    <x:row r="30" ht="64" customHeight="1">
      <x:c r="A30" s="3" t="str">
        <x:v>5. Test public value</x:v>
      </x:c>
      <x:c r="B30" s="3" t="str">
        <x:v>Identify who can use, adapt and govern the system; total cost; local capacity; accessibility; languages; and distribution of benefits.</x:v>
      </x:c>
      <x:c r="C30" s="3" t="str">
        <x:v>Seek adopter and community evidence, not only steward claims.</x:v>
      </x:c>
      <x:c r="D30" s="3" t="str">
        <x:v>Public funding or nonprofit status alone is insufficient.</x:v>
      </x:c>
    </x:row>
  </x:sheetData>
  <x:mergeCells>
    <x:mergeCell ref="A1:D1"/>
    <x:mergeCell ref="A2:D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4" hidden="0" customWidth="1"/>
    <x:col min="3" max="3" width="4" hidden="0" customWidth="1"/>
    <x:col min="4" max="4" width="46" hidden="0" customWidth="1"/>
    <x:col min="5" max="5" width="14" hidden="0" customWidth="1"/>
  </x:cols>
  <x:sheetData>
    <x:row r="1" ht="38" customHeight="1">
      <x:c r="A1" s="5" t="str">
        <x:v>Coverage — denominators remain explicit</x:v>
      </x:c>
      <x:c r="B1" s="5"/>
      <x:c r="C1" s="5"/>
      <x:c r="D1" s="5"/>
      <x:c r="E1" s="5"/>
    </x:row>
    <x:row r="2" ht="27" customHeight="1">
      <x:c r="A2" s="7" t="str">
        <x:v>Counts describe this discovery set. Geographic totals are coded regions, not representative world shares; multi-region initiatives are not allocated to countries.</x:v>
      </x:c>
      <x:c r="B2" s="7"/>
      <x:c r="C2" s="7"/>
      <x:c r="D2" s="7"/>
      <x:c r="E2" s="7"/>
    </x:row>
    <x:row r="3" ht="27" customHeight="1">
      <x:c r="A3" s="7"/>
      <x:c r="B3" s="7"/>
      <x:c r="C3" s="7"/>
      <x:c r="D3" s="7"/>
      <x:c r="E3" s="7"/>
    </x:row>
    <x:row r="4" ht="34" customHeight="1">
      <x:c r="A4" s="3"/>
      <x:c r="B4" s="3"/>
      <x:c r="C4" s="3"/>
      <x:c r="D4" s="3"/>
      <x:c r="E4" s="3"/>
    </x:row>
    <x:row r="5" ht="34" customHeight="1">
      <x:c r="A5" s="8" t="str">
        <x:v>Lens</x:v>
      </x:c>
      <x:c r="B5" s="8" t="str">
        <x:v>Records</x:v>
      </x:c>
      <x:c r="C5" s="8" t="str"/>
      <x:c r="D5" s="8" t="str">
        <x:v>Coded region</x:v>
      </x:c>
      <x:c r="E5" s="8" t="str">
        <x:v>Records</x:v>
      </x:c>
    </x:row>
    <x:row r="6" ht="34" customHeight="1">
      <x:c r="A6" s="3" t="str">
        <x:v>AI × education</x:v>
      </x:c>
      <x:c r="B6" s="14" t="n">
        <x:f>COUNTIF('Landscape'!$C$6:$C$107,A6)</x:f>
        <x:v>30</x:v>
      </x:c>
      <x:c r="C6" s="3"/>
      <x:c r="D6" s="3" t="str">
        <x:v>Global</x:v>
      </x:c>
      <x:c r="E6" s="14" t="n">
        <x:f>COUNTIF('Landscape'!$F$6:$F$107,D6)</x:f>
        <x:v>26</x:v>
      </x:c>
    </x:row>
    <x:row r="7" ht="34" customHeight="1">
      <x:c r="A7" s="3" t="str">
        <x:v>AI × education × open</x:v>
      </x:c>
      <x:c r="B7" s="14" t="n">
        <x:f>COUNTIF('Landscape'!$C$6:$C$107,A7)</x:f>
        <x:v>36</x:v>
      </x:c>
      <x:c r="C7" s="3"/>
      <x:c r="D7" s="3" t="str">
        <x:v>Europe</x:v>
      </x:c>
      <x:c r="E7" s="14" t="n">
        <x:f>COUNTIF('Landscape'!$F$6:$F$107,D7)</x:f>
        <x:v>21</x:v>
      </x:c>
    </x:row>
    <x:row r="8" ht="34" customHeight="1">
      <x:c r="A8" s="3" t="str">
        <x:v>Education × open standards</x:v>
      </x:c>
      <x:c r="B8" s="14" t="n">
        <x:f>COUNTIF('Landscape'!$C$6:$C$107,A8)</x:f>
        <x:v>36</x:v>
      </x:c>
      <x:c r="C8" s="3"/>
      <x:c r="D8" s="3" t="str">
        <x:v>Asia</x:v>
      </x:c>
      <x:c r="E8" s="14" t="n">
        <x:f>COUNTIF('Landscape'!$F$6:$F$107,D8)</x:f>
        <x:v>11</x:v>
      </x:c>
    </x:row>
    <x:row r="9" ht="34" customHeight="1">
      <x:c r="A9" s="3"/>
      <x:c r="B9" s="14"/>
      <x:c r="C9" s="3"/>
      <x:c r="D9" s="3" t="str">
        <x:v>Africa</x:v>
      </x:c>
      <x:c r="E9" s="14" t="n">
        <x:f>COUNTIF('Landscape'!$F$6:$F$107,D9)</x:f>
        <x:v>5</x:v>
      </x:c>
    </x:row>
    <x:row r="10" ht="34" customHeight="1">
      <x:c r="A10" s="3"/>
      <x:c r="B10" s="14"/>
      <x:c r="C10" s="3"/>
      <x:c r="D10" s="3" t="str">
        <x:v>Latin America</x:v>
      </x:c>
      <x:c r="E10" s="14" t="n">
        <x:f>COUNTIF('Landscape'!$F$6:$F$107,D10)</x:f>
        <x:v>3</x:v>
      </x:c>
    </x:row>
    <x:row r="11" ht="34" customHeight="1">
      <x:c r="A11" s="3"/>
      <x:c r="B11" s="14"/>
      <x:c r="C11" s="3"/>
      <x:c r="D11" s="3" t="str">
        <x:v>MENA</x:v>
      </x:c>
      <x:c r="E11" s="14" t="n">
        <x:f>COUNTIF('Landscape'!$F$6:$F$107,D11)</x:f>
        <x:v>3</x:v>
      </x:c>
    </x:row>
    <x:row r="12" ht="34" customHeight="1">
      <x:c r="A12" s="3"/>
      <x:c r="B12" s="14"/>
      <x:c r="C12" s="3"/>
      <x:c r="D12" s="3" t="str">
        <x:v>North America</x:v>
      </x:c>
      <x:c r="E12" s="14" t="n">
        <x:f>COUNTIF('Landscape'!$F$6:$F$107,D12)</x:f>
        <x:v>29</x:v>
      </x:c>
    </x:row>
    <x:row r="13" ht="34" customHeight="1">
      <x:c r="A13" s="3"/>
      <x:c r="B13" s="14"/>
      <x:c r="C13" s="3"/>
      <x:c r="D13" s="3" t="str">
        <x:v>Oceania</x:v>
      </x:c>
      <x:c r="E13" s="14" t="n">
        <x:f>COUNTIF('Landscape'!$F$6:$F$107,D13)</x:f>
        <x:v>4</x:v>
      </x:c>
    </x:row>
    <x:row r="14" ht="34" customHeight="1">
      <x:c r="A14" s="3"/>
      <x:c r="B14" s="14"/>
      <x:c r="C14" s="3"/>
      <x:c r="D14" s="3"/>
      <x:c r="E14" s="3"/>
    </x:row>
    <x:row r="15" ht="34" customHeight="1">
      <x:c r="A15" s="3"/>
      <x:c r="B15" s="14"/>
      <x:c r="C15" s="3"/>
      <x:c r="D15" s="3"/>
      <x:c r="E15" s="3"/>
    </x:row>
    <x:row r="16" ht="34" customHeight="1">
      <x:c r="A16" s="3" t="str">
        <x:v>Lens total</x:v>
      </x:c>
      <x:c r="B16" s="14" t="n">
        <x:f>SUM(B6:B8)</x:f>
        <x:v>102</x:v>
      </x:c>
      <x:c r="C16" s="3"/>
      <x:c r="D16" s="3"/>
      <x:c r="E16" s="3"/>
    </x:row>
    <x:row r="17" ht="34" customHeight="1">
      <x:c r="A17" s="3" t="str">
        <x:v>Region total</x:v>
      </x:c>
      <x:c r="B17" s="14" t="n">
        <x:f>SUM(E6:E13)</x:f>
        <x:v>102</x:v>
      </x:c>
      <x:c r="C17" s="3"/>
      <x:c r="D17" s="3"/>
      <x:c r="E17" s="3"/>
    </x:row>
    <x:row r="18" ht="34" customHeight="1">
      <x:c r="A18" s="3" t="str">
        <x:v>Difference (must be zero)</x:v>
      </x:c>
      <x:c r="B18" s="14" t="n">
        <x:f>B16-B17</x:f>
        <x:v>0</x:v>
      </x:c>
      <x:c r="C18" s="3"/>
      <x:c r="D18" s="3"/>
      <x:c r="E18" s="3"/>
    </x:row>
    <x:row r="19" ht="34" customHeight="1">
      <x:c r="A19" s="3"/>
      <x:c r="B19" s="3"/>
      <x:c r="C19" s="3"/>
      <x:c r="D19" s="3"/>
      <x:c r="E19" s="3"/>
    </x:row>
    <x:row r="20" ht="34" customHeight="1">
      <x:c r="A20" s="3"/>
      <x:c r="B20" s="3"/>
      <x:c r="C20" s="3"/>
      <x:c r="D20" s="3"/>
      <x:c r="E20" s="3"/>
    </x:row>
    <x:row r="21" ht="34" customHeight="1">
      <x:c r="A21" s="3"/>
      <x:c r="B21" s="3"/>
      <x:c r="C21" s="3"/>
      <x:c r="D21" s="3"/>
      <x:c r="E21" s="3"/>
    </x:row>
    <x:row r="22" ht="34" customHeight="1">
      <x:c r="A22" s="3"/>
      <x:c r="B22" s="3"/>
      <x:c r="C22" s="3"/>
      <x:c r="D22" s="3"/>
      <x:c r="E22" s="3"/>
    </x:row>
  </x:sheetData>
  <x:mergeCells>
    <x:mergeCell ref="A1:E1"/>
    <x:mergeCell ref="A2:E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6" hidden="0" customWidth="1"/>
    <x:col min="3" max="3" width="90" hidden="0" customWidth="1"/>
  </x:cols>
  <x:sheetData>
    <x:row r="1" ht="38" customHeight="1">
      <x:c r="A1" s="5" t="str">
        <x:v>Provenance and reconciliation</x:v>
      </x:c>
      <x:c r="B1" s="5"/>
      <x:c r="C1" s="5"/>
    </x:row>
    <x:row r="2" ht="27" customHeight="1">
      <x:c r="A2" s="7" t="str">
        <x:v>Use these notes with document 10. The workbook carries the complete discovery inventory and source associations; detailed case interpretation has one narrative home.</x:v>
      </x:c>
      <x:c r="B2" s="7"/>
      <x:c r="C2" s="7"/>
    </x:row>
    <x:row r="3" ht="27" customHeight="1">
      <x:c r="A3" s="7"/>
      <x:c r="B3" s="7"/>
      <x:c r="C3" s="7"/>
    </x:row>
    <x:row r="4" ht="34" customHeight="1">
      <x:c r="A4" s="3"/>
      <x:c r="B4" s="3"/>
      <x:c r="C4" s="3"/>
    </x:row>
    <x:row r="5" ht="34" customHeight="1">
      <x:c r="A5" s="8" t="str">
        <x:v>Item</x:v>
      </x:c>
      <x:c r="B5" s="8" t="str">
        <x:v>Source / locator</x:v>
      </x:c>
      <x:c r="C5" s="8" t="str">
        <x:v>Treatment and limitation</x:v>
      </x:c>
    </x:row>
    <x:row r="6" ht="38" customHeight="1">
      <x:c r="A6" s="3" t="str">
        <x:v>Source baseline</x:v>
      </x:c>
      <x:c r="B6" s="3" t="str">
        <x:v>global-ai-education-open-standards-landscape-2026-09-03(1).xlsx</x:v>
      </x:c>
      <x:c r="C6" s="3" t="str">
        <x:v>100 original rows and 27 fields; original broad Open code classes preserved in Landscape M.</x:v>
      </x:c>
    </x:row>
    <x:row r="7" ht="38" customHeight="1">
      <x:c r="A7" s="3" t="str">
        <x:v>Richer record fields</x:v>
      </x:c>
      <x:c r="B7" s="3" t="str">
        <x:v>global-ai-education-open-standards-project-inventory-2026-09-04.md</x:v>
      </x:c>
      <x:c r="C7" s="3" t="str">
        <x:v>All 102 records. Fifty original-row differences were exclusively richer Open code descriptions, retained in AB.</x:v>
      </x:c>
    </x:row>
    <x:row r="8" ht="38" customHeight="1">
      <x:c r="A8" s="3" t="str">
        <x:v>Source associations</x:v>
      </x:c>
      <x:c r="B8" s="3" t="str">
        <x:v>global-ai-education-open-standards-source-ledger-2026-09-04.md</x:v>
      </x:c>
      <x:c r="C8" s="3" t="str">
        <x:v>191 project-source rows; 186 URLs; 16 single-source records. Full support descriptions preserved.</x:v>
      </x:c>
    </x:row>
    <x:row r="9" ht="51" customHeight="1">
      <x:c r="A9" s="3" t="str">
        <x:v>P011 / P012 / P019 source kind</x:v>
      </x:c>
      <x:c r="B9" s="3" t="str">
        <x:v>Mindspark / AI Digital Textbooks / Letrus</x:v>
      </x:c>
      <x:c r="C9" s="3" t="str">
        <x:v>J-PAL pages are research/evaluation synthesis, Korea Herald is independent media. Sources K preserves every original classification; hosting and evaluation independence remain distinct.</x:v>
      </x:c>
    </x:row>
    <x:row r="10" ht="64" customHeight="1">
      <x:c r="A10" s="3" t="str">
        <x:v>P101 unresolved</x:v>
      </x:c>
      <x:c r="B10" s="3" t="str">
        <x:v>Document 10: source contradictions</x:v>
      </x:c>
      <x:c r="C10" s="3" t="str">
        <x:v>Inventory calls Anthropic/Pearson incorrect; Pioneers report describes distinct Pearson/Anthropic Ireland and PA/Anthropic relationships. Both are retained pending primary-notice resolution. Publication-force wording also needs actor/instrument/trigger clarification.</x:v>
      </x:c>
    </x:row>
    <x:row r="11" ht="51" customHeight="1">
      <x:c r="A11" s="3" t="str">
        <x:v>P102 boundary</x:v>
      </x:c>
      <x:c r="B11" s="3" t="str">
        <x:v>i.AI petri-edu</x:v>
      </x:c>
      <x:c r="C11" s="3" t="str">
        <x:v>MIT code and an education-release branch are established by the historical source. No public education-specific cases/results or verified Sovereign Education Benchmark relationship was found.</x:v>
      </x:c>
    </x:row>
    <x:row r="12" ht="51" customHeight="1">
      <x:c r="A12" s="3" t="str">
        <x:v>Formula correction</x:v>
      </x:c>
      <x:c r="B12" s="3" t="str">
        <x:v>Coverage / Overview</x:v>
      </x:c>
      <x:c r="C12" s="3" t="str">
        <x:v>All bounded counts use complete A6:A107 / corresponding columns, removing relative range drift. Existing old totals happened to coincide; no historical count error is asserted.</x:v>
      </x:c>
    </x:row>
    <x:row r="13" ht="51" customHeight="1">
      <x:c r="A13" s="3" t="str">
        <x:v>Later studies</x:v>
      </x:c>
      <x:c r="B13" s="3" t="str">
        <x:v>10-comparative-research-and-evidence.md</x:v>
      </x:c>
      <x:c r="C13" s="3" t="str">
        <x:v>Detailed OATutor, current product, Pioneers and incentive audits are integrated in document 10. They qualify historical inventory rows rather than silently rewriting their check dates.</x:v>
      </x:c>
    </x:row>
    <x:row r="14" ht="38" customHeight="1">
      <x:c r="A14" s="3" t="str">
        <x:v>Distinct denominators</x:v>
      </x:c>
      <x:c r="B14" s="3" t="str">
        <x:v>09-public-value-standards-and-commons.md</x:v>
      </x:c>
      <x:c r="C14" s="3" t="str">
        <x:v>The education standards historical inventory has 78 counted families; workbook 36 standards/infrastructure records are a different discovery denominator.</x:v>
      </x:c>
    </x:row>
    <x:row r="15" ht="38" customHeight="1">
      <x:c r="A15" s="3" t="str">
        <x:v>Reconstruction</x:v>
      </x:c>
      <x:c r="B15" s="3" t="str">
        <x:v>6 September 2026</x:v>
      </x:c>
      <x:c r="C15" s="3" t="str">
        <x:v>Source archive unchanged. No current availability, legal compliance, security, price or outcome re-verification is claimed.</x:v>
      </x:c>
    </x:row>
  </x:sheetData>
  <x:mergeCells>
    <x:mergeCell ref="A1:C1"/>
    <x:mergeCell ref="A2:C3"/>
  </x:mergeCells>
  <x:pageMargins left="0.7" right="0.7" top="0.75" bottom="0.75" header="0.3" footer="0.3"/>
</x:worksheet>
</file>